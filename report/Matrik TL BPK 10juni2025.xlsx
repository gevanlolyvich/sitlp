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TUAN INTERNAL AUDIT PT JAKTOUR\DATA AUDIT PLT KA SIA\TL BPK RI\"/>
    </mc:Choice>
  </mc:AlternateContent>
  <xr:revisionPtr revIDLastSave="0" documentId="13_ncr:1_{9AF289FA-89FD-460B-971B-C2B1B07E7CFF}" xr6:coauthVersionLast="47" xr6:coauthVersionMax="47" xr10:uidLastSave="{00000000-0000-0000-0000-000000000000}"/>
  <bookViews>
    <workbookView xWindow="-120" yWindow="-120" windowWidth="20730" windowHeight="11160" activeTab="1" xr2:uid="{1D6E5811-AEB6-430D-AB2D-FD9B0F2B25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1" l="1"/>
  <c r="Q12" i="1"/>
  <c r="Q13" i="1" s="1"/>
  <c r="P12" i="1"/>
  <c r="P13" i="1" s="1"/>
  <c r="O12" i="1"/>
  <c r="O13" i="1" s="1"/>
  <c r="N12" i="1"/>
  <c r="N13" i="1" s="1"/>
  <c r="M12" i="1"/>
  <c r="L12" i="1"/>
  <c r="J8" i="1"/>
  <c r="J9" i="1" s="1"/>
  <c r="J10" i="1" s="1"/>
  <c r="D15" i="1"/>
  <c r="D17" i="1" s="1"/>
  <c r="C12" i="1"/>
  <c r="E12" i="1"/>
  <c r="D12" i="1"/>
  <c r="A8" i="1"/>
  <c r="A9" i="1" s="1"/>
  <c r="A10" i="1" s="1"/>
  <c r="F10" i="1"/>
  <c r="F9" i="1"/>
  <c r="F8" i="1"/>
  <c r="F7" i="1"/>
  <c r="F12" i="1" l="1"/>
</calcChain>
</file>

<file path=xl/sharedStrings.xml><?xml version="1.0" encoding="utf-8"?>
<sst xmlns="http://schemas.openxmlformats.org/spreadsheetml/2006/main" count="57" uniqueCount="33">
  <si>
    <t>PROGRESS TLHP BPK (s.d Semester II Tahun 2024)</t>
  </si>
  <si>
    <t>No</t>
  </si>
  <si>
    <t>Jumlah Temuan</t>
  </si>
  <si>
    <t>Jumlah Rekomendasi</t>
  </si>
  <si>
    <t>yang sudah sesuai (Selesai)</t>
  </si>
  <si>
    <t>Capaian</t>
  </si>
  <si>
    <t>Keterangan</t>
  </si>
  <si>
    <t>PDTT 2005</t>
  </si>
  <si>
    <t>PDTT 2015</t>
  </si>
  <si>
    <t>PDTT 2011</t>
  </si>
  <si>
    <t>PDTT 2018</t>
  </si>
  <si>
    <t>Total</t>
  </si>
  <si>
    <t>PROGRESS TLHP BPK (s.d Semester II Tahun 2025)</t>
  </si>
  <si>
    <t>(s.d Tahun 2024)</t>
  </si>
  <si>
    <t>status Tindak Lanjut</t>
  </si>
  <si>
    <t>Sesuai</t>
  </si>
  <si>
    <t>Belum Sesuai</t>
  </si>
  <si>
    <t>Belum Ditindaklanjuti</t>
  </si>
  <si>
    <t>Tidak Dapat ditindaklanjuti</t>
  </si>
  <si>
    <t>MATRIKS PEMANTAUAN TINDAK LANJUT</t>
  </si>
  <si>
    <t>Lampiran 1</t>
  </si>
  <si>
    <t xml:space="preserve">LAPORAN HASIL PEMERIKSAAN ATAS KEGIATAN OPERASIONAL PT JAKARTA TOURISINDO DAN INSTANSI TERKAIT LAINNYA TA 2017 dan 2018 (SEMESTER I)
</t>
  </si>
  <si>
    <t>Temuan Pemeriksaan</t>
  </si>
  <si>
    <t>Rekomendasi</t>
  </si>
  <si>
    <t>Tindak Lanjut Entitas yang Diperiksa</t>
  </si>
  <si>
    <t>Hasil Pemantauan Tindak Lanjut</t>
  </si>
  <si>
    <t>Kesimpulan</t>
  </si>
  <si>
    <t>Nilai Penyerahan aset atau penyetoran uang ke kas negara/daerah</t>
  </si>
  <si>
    <t>Tidak Dapat Ditindaklanjuti dengan alasan yang sah</t>
  </si>
  <si>
    <t>Judul</t>
  </si>
  <si>
    <t>Jml</t>
  </si>
  <si>
    <t xml:space="preserve">Nilai </t>
  </si>
  <si>
    <t>Uraian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</si>
</sst>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color rgb="FF000000"/>
      <name val="Calibri"/>
    </font>
    <font>
      <b/>
      <sz val="8"/>
      <color rgb="FF000000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41" fontId="0" fillId="0" borderId="0" xfId="1" applyFont="1"/>
    <xf numFmtId="0" fontId="0" fillId="0" borderId="1" xfId="0" applyBorder="1"/>
    <xf numFmtId="41" fontId="0" fillId="0" borderId="1" xfId="1" applyFont="1" applyBorder="1"/>
    <xf numFmtId="9" fontId="0" fillId="0" borderId="1" xfId="2" applyFont="1" applyBorder="1"/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2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1" fontId="2" fillId="0" borderId="3" xfId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9" fontId="2" fillId="0" borderId="1" xfId="2" applyFont="1" applyBorder="1"/>
    <xf numFmtId="0" fontId="0" fillId="0" borderId="0" xfId="0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164" fontId="0" fillId="0" borderId="0" xfId="2" applyNumberFormat="1" applyFont="1"/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1" fontId="2" fillId="0" borderId="0" xfId="1" applyFont="1" applyBorder="1" applyAlignment="1">
      <alignment horizontal="center" vertical="center"/>
    </xf>
    <xf numFmtId="41" fontId="0" fillId="0" borderId="0" xfId="1" applyFont="1" applyBorder="1"/>
    <xf numFmtId="9" fontId="2" fillId="0" borderId="9" xfId="2" applyFont="1" applyBorder="1"/>
    <xf numFmtId="9" fontId="2" fillId="0" borderId="6" xfId="2" applyFont="1" applyBorder="1"/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1" fontId="2" fillId="0" borderId="2" xfId="1" applyFont="1" applyBorder="1" applyAlignment="1">
      <alignment horizontal="center" vertical="center"/>
    </xf>
    <xf numFmtId="41" fontId="2" fillId="0" borderId="3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/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6" fillId="0" borderId="14" xfId="0" applyFont="1" applyBorder="1"/>
    <xf numFmtId="0" fontId="5" fillId="2" borderId="15" xfId="0" applyFont="1" applyFill="1" applyBorder="1" applyAlignment="1">
      <alignment horizontal="center" vertical="center" wrapText="1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5" fillId="2" borderId="23" xfId="0" applyFont="1" applyFill="1" applyBorder="1" applyAlignment="1">
      <alignment horizontal="center" vertical="center" wrapText="1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1EEF-1F9C-4273-98E6-3F8403B6A415}">
  <dimension ref="A2:Q20"/>
  <sheetViews>
    <sheetView topLeftCell="E4" zoomScale="80" zoomScaleNormal="80" workbookViewId="0">
      <selection activeCell="N10" sqref="N10"/>
    </sheetView>
  </sheetViews>
  <sheetFormatPr defaultRowHeight="15" x14ac:dyDescent="0.25"/>
  <cols>
    <col min="1" max="1" width="7.7109375" customWidth="1"/>
    <col min="2" max="2" width="11.85546875" customWidth="1"/>
    <col min="3" max="3" width="15.42578125" bestFit="1" customWidth="1"/>
    <col min="4" max="4" width="20" bestFit="1" customWidth="1"/>
    <col min="5" max="5" width="27" bestFit="1" customWidth="1"/>
    <col min="6" max="6" width="10.5703125" customWidth="1"/>
    <col min="7" max="7" width="12.5703125" bestFit="1" customWidth="1"/>
    <col min="8" max="8" width="12.5703125" customWidth="1"/>
    <col min="9" max="9" width="3.42578125" customWidth="1"/>
    <col min="11" max="11" width="14.85546875" customWidth="1"/>
    <col min="12" max="17" width="15.5703125" customWidth="1"/>
  </cols>
  <sheetData>
    <row r="2" spans="1:17" x14ac:dyDescent="0.25">
      <c r="A2" s="24" t="s">
        <v>0</v>
      </c>
      <c r="B2" s="24"/>
      <c r="C2" s="24"/>
      <c r="D2" s="24"/>
      <c r="E2" s="24"/>
      <c r="F2" s="24"/>
      <c r="G2" s="24"/>
      <c r="H2" s="15"/>
      <c r="J2" s="25" t="s">
        <v>12</v>
      </c>
      <c r="K2" s="25"/>
      <c r="L2" s="25"/>
      <c r="M2" s="25"/>
      <c r="N2" s="25"/>
      <c r="O2" s="25"/>
      <c r="P2" s="25"/>
      <c r="Q2" s="25"/>
    </row>
    <row r="4" spans="1:17" ht="30" customHeight="1" x14ac:dyDescent="0.25">
      <c r="A4" s="26" t="s">
        <v>1</v>
      </c>
      <c r="B4" s="27"/>
      <c r="C4" s="6" t="s">
        <v>2</v>
      </c>
      <c r="D4" s="7" t="s">
        <v>3</v>
      </c>
      <c r="E4" s="8" t="s">
        <v>3</v>
      </c>
      <c r="F4" s="37" t="s">
        <v>5</v>
      </c>
      <c r="G4" s="37" t="s">
        <v>6</v>
      </c>
      <c r="H4" s="20"/>
      <c r="I4" s="1"/>
      <c r="J4" s="26" t="s">
        <v>1</v>
      </c>
      <c r="K4" s="27"/>
      <c r="L4" s="33" t="s">
        <v>2</v>
      </c>
      <c r="M4" s="35" t="s">
        <v>3</v>
      </c>
      <c r="N4" s="30" t="s">
        <v>14</v>
      </c>
      <c r="O4" s="31"/>
      <c r="P4" s="31"/>
      <c r="Q4" s="32"/>
    </row>
    <row r="5" spans="1:17" ht="30" x14ac:dyDescent="0.25">
      <c r="A5" s="28"/>
      <c r="B5" s="29"/>
      <c r="C5" s="9" t="s">
        <v>13</v>
      </c>
      <c r="D5" s="10" t="s">
        <v>13</v>
      </c>
      <c r="E5" s="11" t="s">
        <v>4</v>
      </c>
      <c r="F5" s="38"/>
      <c r="G5" s="38"/>
      <c r="H5" s="20"/>
      <c r="I5" s="1"/>
      <c r="J5" s="28"/>
      <c r="K5" s="29"/>
      <c r="L5" s="34"/>
      <c r="M5" s="36"/>
      <c r="N5" s="16" t="s">
        <v>15</v>
      </c>
      <c r="O5" s="16" t="s">
        <v>16</v>
      </c>
      <c r="P5" s="18" t="s">
        <v>17</v>
      </c>
      <c r="Q5" s="19" t="s">
        <v>18</v>
      </c>
    </row>
    <row r="6" spans="1:17" x14ac:dyDescent="0.25">
      <c r="A6" s="2"/>
      <c r="B6" s="2"/>
      <c r="C6" s="2"/>
      <c r="D6" s="2"/>
      <c r="E6" s="3"/>
      <c r="F6" s="3"/>
      <c r="G6" s="3"/>
      <c r="H6" s="21"/>
      <c r="I6" s="1"/>
      <c r="J6" s="2"/>
      <c r="K6" s="2"/>
      <c r="L6" s="2"/>
      <c r="M6" s="2"/>
      <c r="N6" s="2"/>
      <c r="O6" s="2"/>
      <c r="P6" s="2"/>
      <c r="Q6" s="2"/>
    </row>
    <row r="7" spans="1:17" x14ac:dyDescent="0.25">
      <c r="A7" s="5">
        <v>1</v>
      </c>
      <c r="B7" s="2" t="s">
        <v>7</v>
      </c>
      <c r="C7" s="2">
        <v>21</v>
      </c>
      <c r="D7" s="2">
        <v>21</v>
      </c>
      <c r="E7" s="3">
        <v>21</v>
      </c>
      <c r="F7" s="4">
        <f>E7/D7</f>
        <v>1</v>
      </c>
      <c r="G7" s="3"/>
      <c r="H7" s="21"/>
      <c r="I7" s="1"/>
      <c r="J7" s="5">
        <v>1</v>
      </c>
      <c r="K7" s="2" t="s">
        <v>7</v>
      </c>
      <c r="L7" s="2">
        <v>21</v>
      </c>
      <c r="M7" s="2">
        <v>21</v>
      </c>
      <c r="N7" s="2">
        <v>21</v>
      </c>
      <c r="O7" s="2">
        <v>0</v>
      </c>
      <c r="P7" s="2">
        <v>0</v>
      </c>
      <c r="Q7" s="2">
        <v>0</v>
      </c>
    </row>
    <row r="8" spans="1:17" x14ac:dyDescent="0.25">
      <c r="A8" s="5">
        <f>A7+1</f>
        <v>2</v>
      </c>
      <c r="B8" s="2" t="s">
        <v>9</v>
      </c>
      <c r="C8" s="2">
        <v>7</v>
      </c>
      <c r="D8" s="2">
        <v>10</v>
      </c>
      <c r="E8" s="3">
        <v>10</v>
      </c>
      <c r="F8" s="4">
        <f t="shared" ref="F8:F12" si="0">E8/D8</f>
        <v>1</v>
      </c>
      <c r="G8" s="3"/>
      <c r="H8" s="21"/>
      <c r="I8" s="1"/>
      <c r="J8" s="5">
        <f>J7+1</f>
        <v>2</v>
      </c>
      <c r="K8" s="2" t="s">
        <v>9</v>
      </c>
      <c r="L8" s="2">
        <v>7</v>
      </c>
      <c r="M8" s="2">
        <v>10</v>
      </c>
      <c r="N8" s="2">
        <v>10</v>
      </c>
      <c r="O8" s="2">
        <v>0</v>
      </c>
      <c r="P8" s="2">
        <v>0</v>
      </c>
      <c r="Q8" s="2">
        <v>0</v>
      </c>
    </row>
    <row r="9" spans="1:17" x14ac:dyDescent="0.25">
      <c r="A9" s="5">
        <f t="shared" ref="A9:A10" si="1">A8+1</f>
        <v>3</v>
      </c>
      <c r="B9" s="2" t="s">
        <v>8</v>
      </c>
      <c r="C9" s="2">
        <v>8</v>
      </c>
      <c r="D9" s="2">
        <v>27</v>
      </c>
      <c r="E9" s="3">
        <v>26</v>
      </c>
      <c r="F9" s="4">
        <f t="shared" si="0"/>
        <v>0.96296296296296291</v>
      </c>
      <c r="G9" s="3"/>
      <c r="H9" s="21"/>
      <c r="I9" s="1"/>
      <c r="J9" s="5">
        <f t="shared" ref="J9:J10" si="2">J8+1</f>
        <v>3</v>
      </c>
      <c r="K9" s="2" t="s">
        <v>8</v>
      </c>
      <c r="L9" s="2">
        <v>8</v>
      </c>
      <c r="M9" s="2">
        <v>27</v>
      </c>
      <c r="N9" s="2">
        <v>22</v>
      </c>
      <c r="O9" s="2">
        <v>1</v>
      </c>
      <c r="P9" s="2">
        <v>0</v>
      </c>
      <c r="Q9" s="2">
        <v>4</v>
      </c>
    </row>
    <row r="10" spans="1:17" x14ac:dyDescent="0.25">
      <c r="A10" s="5">
        <f t="shared" si="1"/>
        <v>4</v>
      </c>
      <c r="B10" s="2" t="s">
        <v>10</v>
      </c>
      <c r="C10" s="2">
        <v>6</v>
      </c>
      <c r="D10" s="2">
        <v>11</v>
      </c>
      <c r="E10" s="3">
        <v>10</v>
      </c>
      <c r="F10" s="4">
        <f t="shared" si="0"/>
        <v>0.90909090909090906</v>
      </c>
      <c r="G10" s="3"/>
      <c r="H10" s="21"/>
      <c r="I10" s="1"/>
      <c r="J10" s="5">
        <f t="shared" si="2"/>
        <v>4</v>
      </c>
      <c r="K10" s="2" t="s">
        <v>10</v>
      </c>
      <c r="L10" s="2">
        <v>6</v>
      </c>
      <c r="M10" s="2">
        <v>11</v>
      </c>
      <c r="N10" s="2">
        <v>10</v>
      </c>
      <c r="O10" s="2">
        <v>1</v>
      </c>
      <c r="P10" s="2">
        <v>0</v>
      </c>
      <c r="Q10" s="2">
        <v>0</v>
      </c>
    </row>
    <row r="11" spans="1:17" x14ac:dyDescent="0.25">
      <c r="A11" s="2"/>
      <c r="B11" s="2"/>
      <c r="C11" s="2"/>
      <c r="D11" s="2"/>
      <c r="E11" s="3"/>
      <c r="F11" s="3"/>
      <c r="G11" s="3"/>
      <c r="H11" s="21"/>
      <c r="I11" s="1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2"/>
      <c r="B12" s="12" t="s">
        <v>11</v>
      </c>
      <c r="C12" s="13">
        <f>SUM(C7:C11)</f>
        <v>42</v>
      </c>
      <c r="D12" s="13">
        <f>SUM(D7:D11)</f>
        <v>69</v>
      </c>
      <c r="E12" s="13">
        <f>SUM(E7:E11)</f>
        <v>67</v>
      </c>
      <c r="F12" s="14">
        <f t="shared" si="0"/>
        <v>0.97101449275362317</v>
      </c>
      <c r="G12" s="3"/>
      <c r="H12" s="21"/>
      <c r="I12" s="1"/>
      <c r="J12" s="2"/>
      <c r="K12" s="12" t="s">
        <v>11</v>
      </c>
      <c r="L12" s="13">
        <f>SUM(L7:L11)</f>
        <v>42</v>
      </c>
      <c r="M12" s="13">
        <f t="shared" ref="M12:Q12" si="3">SUM(M7:M11)</f>
        <v>69</v>
      </c>
      <c r="N12" s="13">
        <f t="shared" si="3"/>
        <v>63</v>
      </c>
      <c r="O12" s="13">
        <f t="shared" si="3"/>
        <v>2</v>
      </c>
      <c r="P12" s="13">
        <f t="shared" si="3"/>
        <v>0</v>
      </c>
      <c r="Q12" s="13">
        <f t="shared" si="3"/>
        <v>4</v>
      </c>
    </row>
    <row r="13" spans="1:17" x14ac:dyDescent="0.25">
      <c r="E13" s="1"/>
      <c r="F13" s="1"/>
      <c r="G13" s="1"/>
      <c r="H13" s="1"/>
      <c r="I13" s="1"/>
      <c r="M13" s="22">
        <f>69/69</f>
        <v>1</v>
      </c>
      <c r="N13" s="22">
        <f>N12/M12</f>
        <v>0.91304347826086951</v>
      </c>
      <c r="O13" s="14">
        <f>O12/M12</f>
        <v>2.8985507246376812E-2</v>
      </c>
      <c r="P13" s="23">
        <f>P12/M12</f>
        <v>0</v>
      </c>
      <c r="Q13" s="23">
        <f>Q12/M12</f>
        <v>5.7971014492753624E-2</v>
      </c>
    </row>
    <row r="14" spans="1:17" x14ac:dyDescent="0.25">
      <c r="E14" s="1"/>
      <c r="F14" s="1"/>
      <c r="G14" s="1"/>
      <c r="H14" s="1"/>
      <c r="I14" s="1"/>
    </row>
    <row r="15" spans="1:17" x14ac:dyDescent="0.25">
      <c r="D15">
        <f>69</f>
        <v>69</v>
      </c>
      <c r="E15" s="1"/>
      <c r="F15" s="1"/>
      <c r="G15" s="1"/>
      <c r="H15" s="1"/>
      <c r="I15" s="1"/>
    </row>
    <row r="16" spans="1:17" x14ac:dyDescent="0.25">
      <c r="D16">
        <v>67</v>
      </c>
      <c r="E16" s="1"/>
      <c r="F16" s="1"/>
      <c r="G16" s="1"/>
      <c r="H16" s="1"/>
      <c r="I16" s="1"/>
    </row>
    <row r="17" spans="4:9" x14ac:dyDescent="0.25">
      <c r="D17" s="17">
        <f>D16/D15</f>
        <v>0.97101449275362317</v>
      </c>
      <c r="E17" s="1"/>
      <c r="F17" s="1"/>
      <c r="G17" s="1"/>
      <c r="H17" s="1"/>
      <c r="I17" s="1"/>
    </row>
    <row r="18" spans="4:9" x14ac:dyDescent="0.25">
      <c r="E18" s="1"/>
      <c r="F18" s="1"/>
      <c r="G18" s="1"/>
      <c r="H18" s="1"/>
      <c r="I18" s="1"/>
    </row>
    <row r="19" spans="4:9" x14ac:dyDescent="0.25">
      <c r="E19" s="1"/>
      <c r="F19" s="1"/>
      <c r="G19" s="1"/>
      <c r="H19" s="1"/>
      <c r="I19" s="1"/>
    </row>
    <row r="20" spans="4:9" x14ac:dyDescent="0.25">
      <c r="E20" s="1"/>
      <c r="F20" s="1"/>
      <c r="G20" s="1"/>
      <c r="H20" s="1"/>
      <c r="I20" s="1"/>
    </row>
  </sheetData>
  <mergeCells count="9">
    <mergeCell ref="A2:G2"/>
    <mergeCell ref="J2:Q2"/>
    <mergeCell ref="A4:B5"/>
    <mergeCell ref="N4:Q4"/>
    <mergeCell ref="L4:L5"/>
    <mergeCell ref="M4:M5"/>
    <mergeCell ref="J4:K5"/>
    <mergeCell ref="G4:G5"/>
    <mergeCell ref="F4:F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E939-51AD-4A7F-AC78-E32B3C568CC5}">
  <dimension ref="A1:R8"/>
  <sheetViews>
    <sheetView tabSelected="1" workbookViewId="0">
      <selection activeCell="R5" sqref="R5:R7"/>
    </sheetView>
  </sheetViews>
  <sheetFormatPr defaultRowHeight="15" x14ac:dyDescent="0.25"/>
  <cols>
    <col min="18" max="18" width="11.28515625" customWidth="1"/>
  </cols>
  <sheetData>
    <row r="1" spans="1:18" x14ac:dyDescent="0.25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1" t="s">
        <v>20</v>
      </c>
    </row>
    <row r="2" spans="1:18" x14ac:dyDescent="0.25">
      <c r="A2" s="42" t="s">
        <v>21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8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</row>
    <row r="4" spans="1:18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</row>
    <row r="5" spans="1:18" x14ac:dyDescent="0.25">
      <c r="A5" s="44" t="s">
        <v>1</v>
      </c>
      <c r="B5" s="45" t="s">
        <v>22</v>
      </c>
      <c r="C5" s="46"/>
      <c r="D5" s="47"/>
      <c r="E5" s="45" t="s">
        <v>23</v>
      </c>
      <c r="F5" s="46"/>
      <c r="G5" s="47"/>
      <c r="H5" s="44" t="s">
        <v>24</v>
      </c>
      <c r="I5" s="48" t="s">
        <v>25</v>
      </c>
      <c r="J5" s="49"/>
      <c r="K5" s="49"/>
      <c r="L5" s="49"/>
      <c r="M5" s="49"/>
      <c r="N5" s="49"/>
      <c r="O5" s="49"/>
      <c r="P5" s="50"/>
      <c r="Q5" s="44" t="s">
        <v>26</v>
      </c>
      <c r="R5" s="44" t="s">
        <v>27</v>
      </c>
    </row>
    <row r="6" spans="1:18" ht="40.5" customHeight="1" x14ac:dyDescent="0.25">
      <c r="A6" s="51"/>
      <c r="B6" s="52"/>
      <c r="C6" s="53"/>
      <c r="D6" s="54"/>
      <c r="E6" s="52"/>
      <c r="F6" s="53"/>
      <c r="G6" s="54"/>
      <c r="H6" s="51"/>
      <c r="I6" s="48" t="s">
        <v>15</v>
      </c>
      <c r="J6" s="50"/>
      <c r="K6" s="48" t="s">
        <v>16</v>
      </c>
      <c r="L6" s="50"/>
      <c r="M6" s="48" t="s">
        <v>17</v>
      </c>
      <c r="N6" s="50"/>
      <c r="O6" s="48" t="s">
        <v>28</v>
      </c>
      <c r="P6" s="50"/>
      <c r="Q6" s="51"/>
      <c r="R6" s="51"/>
    </row>
    <row r="7" spans="1:18" x14ac:dyDescent="0.25">
      <c r="A7" s="55"/>
      <c r="B7" s="56" t="s">
        <v>29</v>
      </c>
      <c r="C7" s="56" t="s">
        <v>30</v>
      </c>
      <c r="D7" s="56" t="s">
        <v>31</v>
      </c>
      <c r="E7" s="56" t="s">
        <v>32</v>
      </c>
      <c r="F7" s="56" t="s">
        <v>30</v>
      </c>
      <c r="G7" s="56" t="s">
        <v>31</v>
      </c>
      <c r="H7" s="55"/>
      <c r="I7" s="56" t="s">
        <v>30</v>
      </c>
      <c r="J7" s="56" t="s">
        <v>31</v>
      </c>
      <c r="K7" s="56" t="s">
        <v>30</v>
      </c>
      <c r="L7" s="56" t="s">
        <v>31</v>
      </c>
      <c r="M7" s="56" t="s">
        <v>30</v>
      </c>
      <c r="N7" s="56" t="s">
        <v>31</v>
      </c>
      <c r="O7" s="56" t="s">
        <v>30</v>
      </c>
      <c r="P7" s="56" t="s">
        <v>31</v>
      </c>
      <c r="Q7" s="55"/>
      <c r="R7" s="55"/>
    </row>
    <row r="8" spans="1:18" x14ac:dyDescent="0.25">
      <c r="A8" s="56">
        <v>1</v>
      </c>
      <c r="B8" s="56">
        <v>2</v>
      </c>
      <c r="C8" s="56">
        <v>3</v>
      </c>
      <c r="D8" s="56">
        <v>4</v>
      </c>
      <c r="E8" s="56">
        <v>5</v>
      </c>
      <c r="F8" s="56">
        <v>6</v>
      </c>
      <c r="G8" s="56">
        <v>7</v>
      </c>
      <c r="H8" s="56">
        <v>8</v>
      </c>
      <c r="I8" s="56">
        <v>9</v>
      </c>
      <c r="J8" s="56">
        <v>10</v>
      </c>
      <c r="K8" s="56">
        <v>11</v>
      </c>
      <c r="L8" s="56">
        <v>12</v>
      </c>
      <c r="M8" s="56">
        <v>13</v>
      </c>
      <c r="N8" s="56">
        <v>14</v>
      </c>
      <c r="O8" s="56">
        <v>15</v>
      </c>
      <c r="P8" s="56">
        <v>16</v>
      </c>
      <c r="Q8" s="56">
        <v>17</v>
      </c>
      <c r="R8" s="56">
        <v>18</v>
      </c>
    </row>
  </sheetData>
  <mergeCells count="13">
    <mergeCell ref="K6:L6"/>
    <mergeCell ref="M6:N6"/>
    <mergeCell ref="O6:P6"/>
    <mergeCell ref="A1:Q1"/>
    <mergeCell ref="A2:R2"/>
    <mergeCell ref="A5:A7"/>
    <mergeCell ref="B5:D6"/>
    <mergeCell ref="E5:G6"/>
    <mergeCell ref="H5:H7"/>
    <mergeCell ref="I5:P5"/>
    <mergeCell ref="Q5:Q7"/>
    <mergeCell ref="R5:R7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</dc:creator>
  <cp:lastModifiedBy>SIA</cp:lastModifiedBy>
  <dcterms:created xsi:type="dcterms:W3CDTF">2025-06-10T06:18:48Z</dcterms:created>
  <dcterms:modified xsi:type="dcterms:W3CDTF">2026-07-27T07:44:54Z</dcterms:modified>
</cp:coreProperties>
</file>