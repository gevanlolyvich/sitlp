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F7E2708-C348-479B-A9A9-0C1E42683BAF}" xr6:coauthVersionLast="45" xr6:coauthVersionMax="45" xr10:uidLastSave="{00000000-0000-0000-0000-000000000000}"/>
  <bookViews>
    <workbookView xWindow="-120" yWindow="-120" windowWidth="20730" windowHeight="11160" xr2:uid="{65C92B55-E44C-4A3B-AEC5-40613D8011D4}"/>
  </bookViews>
  <sheets>
    <sheet name="Simulasi TE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">'[1]BUKTI PESAN'!$S$12</definedName>
    <definedName name="__________________________ws2" hidden="1">#REF!</definedName>
    <definedName name="_________________________ws2" hidden="1">#REF!</definedName>
    <definedName name="________________________ws2" hidden="1">#REF!</definedName>
    <definedName name="_______________________ws2" hidden="1">#REF!</definedName>
    <definedName name="______________________ws2" hidden="1">#REF!</definedName>
    <definedName name="_____________________ws2" hidden="1">#REF!</definedName>
    <definedName name="____________________ws2" hidden="1">#REF!</definedName>
    <definedName name="___________________ws2" hidden="1">#REF!</definedName>
    <definedName name="__________________ws2" hidden="1">#REF!</definedName>
    <definedName name="_________________ws2" hidden="1">#REF!</definedName>
    <definedName name="________________ws2" hidden="1">#REF!</definedName>
    <definedName name="_______________ws2" hidden="1">#REF!</definedName>
    <definedName name="______________ws2" hidden="1">#REF!</definedName>
    <definedName name="_____________kon2">#REF!</definedName>
    <definedName name="_____________ws2" hidden="1">#REF!</definedName>
    <definedName name="____________ws2" hidden="1">#REF!</definedName>
    <definedName name="___________ws2" hidden="1">#REF!</definedName>
    <definedName name="__________ws2" hidden="1">#REF!</definedName>
    <definedName name="_________ws2" hidden="1">#REF!</definedName>
    <definedName name="________ws2" hidden="1">#REF!</definedName>
    <definedName name="_______KH01">#REF!</definedName>
    <definedName name="_______KH1">#REF!</definedName>
    <definedName name="_______ws2" hidden="1">#REF!</definedName>
    <definedName name="______ws2" hidden="1">#REF!</definedName>
    <definedName name="_____ws2" hidden="1">#REF!</definedName>
    <definedName name="_____xlfn.RTD" hidden="1">#NAME?</definedName>
    <definedName name="____ws2" hidden="1">#REF!</definedName>
    <definedName name="____xlfn.RTD" hidden="1">#NAME?</definedName>
    <definedName name="___ws2" hidden="1">#REF!</definedName>
    <definedName name="___xlfn.RTD" hidden="1">#NAME?</definedName>
    <definedName name="__123Graph_A" hidden="1">[2]C!#REF!</definedName>
    <definedName name="__123Graph_A96DOLLARS" hidden="1">'[3]BEFORE ALLOCATION'!$B$14:$M$14</definedName>
    <definedName name="__123Graph_A96EXPEND" hidden="1">'[3]BEFORE ALLOCATION'!#REF!</definedName>
    <definedName name="__123Graph_A96PROFIT" hidden="1">'[3]BEFORE ALLOCATION'!#REF!</definedName>
    <definedName name="__123Graph_A96REVENUE" hidden="1">'[3]BEFORE ALLOCATION'!#REF!</definedName>
    <definedName name="__123Graph_ABILLET" hidden="1">[4]Asumsi!$F$1244:$O$1244</definedName>
    <definedName name="__123Graph_ABTGKAWAT" hidden="1">[4]Asumsi!$F$1245:$O$1245</definedName>
    <definedName name="__123Graph_ACRM" hidden="1">[4]Asumsi!$F$1243:$O$1243</definedName>
    <definedName name="__123Graph_AHSM" hidden="1">[4]Asumsi!$F$1242:$O$1242</definedName>
    <definedName name="__123Graph_ASLAB" hidden="1">[4]Asumsi!$F$1241:$O$1241</definedName>
    <definedName name="__123Graph_B" hidden="1">[5]AUG02!#REF!</definedName>
    <definedName name="__123Graph_B96DOLLARS" hidden="1">'[3]BEFORE ALLOCATION'!$B$27:$M$27</definedName>
    <definedName name="__123Graph_B96EXPEND" hidden="1">'[3]BEFORE ALLOCATION'!#REF!</definedName>
    <definedName name="__123Graph_B96PROFIT" hidden="1">'[3]BEFORE ALLOCATION'!#REF!</definedName>
    <definedName name="__123Graph_B96REVENUE" hidden="1">'[3]BEFORE ALLOCATION'!#REF!</definedName>
    <definedName name="__123Graph_BBILLET" hidden="1">[4]Asumsi!$F$286:$O$286</definedName>
    <definedName name="__123Graph_BBTGKAWAT" hidden="1">[4]Asumsi!$F$287:$O$287</definedName>
    <definedName name="__123Graph_BCRM" hidden="1">[4]Asumsi!$F$285:$O$285</definedName>
    <definedName name="__123Graph_BHSM" hidden="1">[4]Asumsi!$F$281:$O$281</definedName>
    <definedName name="__123Graph_BSLAB" hidden="1">[4]Asumsi!$F$288:$O$288</definedName>
    <definedName name="__123Graph_C" hidden="1">[5]AUG02!#REF!</definedName>
    <definedName name="__123Graph_C96DOLLARS" hidden="1">'[3]BEFORE ALLOCATION'!$B$58:$M$58</definedName>
    <definedName name="__123Graph_C96EXPEND" hidden="1">'[3]BEFORE ALLOCATION'!$B$27:$M$27</definedName>
    <definedName name="__123Graph_C96PROFIT" hidden="1">'[3]BEFORE ALLOCATION'!$B$58:$M$58</definedName>
    <definedName name="__123Graph_C96REVENUE" hidden="1">'[3]BEFORE ALLOCATION'!$B$14:$M$14</definedName>
    <definedName name="__123Graph_D" hidden="1">[5]AUG02!#REF!</definedName>
    <definedName name="__123Graph_E" hidden="1">[5]AUG02!#REF!</definedName>
    <definedName name="__123Graph_F" hidden="1">[5]AUG02!#REF!</definedName>
    <definedName name="__123Graph_LBL_ABILLET" hidden="1">[4]Asumsi!$F$1244:$O$1244</definedName>
    <definedName name="__123Graph_LBL_ABTGKAWAT" hidden="1">[4]Asumsi!$F$1245:$O$1245</definedName>
    <definedName name="__123Graph_LBL_ACRM" hidden="1">[4]Asumsi!$F$1243:$O$1243</definedName>
    <definedName name="__123Graph_LBL_AHSM" hidden="1">[4]Asumsi!$F$1242:$O$1242</definedName>
    <definedName name="__123Graph_LBL_ASLAB" hidden="1">[4]Asumsi!$F$1241:$O$1241</definedName>
    <definedName name="__123Graph_LBL_BBILLET" hidden="1">[4]Asumsi!$F$286:$O$286</definedName>
    <definedName name="__123Graph_LBL_BBTGKAWAT" hidden="1">[4]Asumsi!$F$287:$O$287</definedName>
    <definedName name="__123Graph_LBL_BCRM" hidden="1">[4]Asumsi!$F$285:$O$285</definedName>
    <definedName name="__123Graph_LBL_BHSM" hidden="1">[4]Asumsi!$F$281:$O$281</definedName>
    <definedName name="__123Graph_LBL_BSLAB" hidden="1">[4]Asumsi!$F$288:$O$288</definedName>
    <definedName name="__123Graph_X" hidden="1">[5]AUG02!#REF!</definedName>
    <definedName name="__123Graph_X96DOLLARS" hidden="1">'[3]BEFORE ALLOCATION'!$B$2:$M$2</definedName>
    <definedName name="__123Graph_X96EXPEND" hidden="1">'[3]BEFORE ALLOCATION'!$B$2:$M$2</definedName>
    <definedName name="__123Graph_X96PROFIT" hidden="1">'[3]BEFORE ALLOCATION'!$B$2:$M$2</definedName>
    <definedName name="__123Graph_X96REVENUE" hidden="1">'[3]BEFORE ALLOCATION'!$B$2:$M$2</definedName>
    <definedName name="__123Graph_XBILLET" hidden="1">[4]Asumsi!$F$1239:$O$1239</definedName>
    <definedName name="__123Graph_XBTGKAWAT" hidden="1">[4]Asumsi!$F$1239:$O$1239</definedName>
    <definedName name="__123Graph_XCRM" hidden="1">[4]Asumsi!$F$1239:$O$1239</definedName>
    <definedName name="__123Graph_XHSM" hidden="1">[4]Asumsi!$F$1239:$O$1239</definedName>
    <definedName name="__123Graph_XSLAB" hidden="1">[4]Asumsi!$F$1239:$O$1239</definedName>
    <definedName name="__2__123Graph_ACHART_1" hidden="1">[4]Perhitungan!$F$3078:$O$3078</definedName>
    <definedName name="__eli2" hidden="1">'[6]BBM-03'!$B$767:$B$769</definedName>
    <definedName name="__FDS_HYPERLINK_TOGGLE_STATE__" hidden="1">"ON"</definedName>
    <definedName name="__IntlFixup" hidden="1">TRUE</definedName>
    <definedName name="__PAK0456" hidden="1">{"'UIR'!$B$1:$U$37"}</definedName>
    <definedName name="__pak41" hidden="1">{"'UIR'!$B$1:$U$37"}</definedName>
    <definedName name="__ws2" hidden="1">#REF!</definedName>
    <definedName name="__xlfn.BAHTTEXT" hidden="1">#NAME?</definedName>
    <definedName name="__xlfn.RTD" hidden="1">#NAME?</definedName>
    <definedName name="_1___123Graph_ACHART_1" hidden="1">[4]Perhitungan!$F$3078:$O$3078</definedName>
    <definedName name="_1__123Graph_ACHART_1" hidden="1">[4]Perhitungan!$F$3078:$O$3078</definedName>
    <definedName name="_2___123Graph_AChart_1AJ" hidden="1">#REF!</definedName>
    <definedName name="_2__123Graph_ACHART_1" hidden="1">[4]Perhitungan!$F$3078:$O$3078</definedName>
    <definedName name="_2__123Graph_AChart_1AJ" hidden="1">#REF!</definedName>
    <definedName name="_3___123Graph_AChart_1Q" hidden="1">#REF!</definedName>
    <definedName name="_3__123Graph_AChart_1AJ" hidden="1">#REF!</definedName>
    <definedName name="_3__123Graph_AChart_1Q" hidden="1">#REF!</definedName>
    <definedName name="_4___123Graph_BChart_1Q" hidden="1">#REF!</definedName>
    <definedName name="_4__123Graph_AChart_1AJ" hidden="1">#REF!</definedName>
    <definedName name="_4__123Graph_AChart_1Q" hidden="1">#REF!</definedName>
    <definedName name="_4__123Graph_BChart_1Q" hidden="1">#REF!</definedName>
    <definedName name="_5__123Graph_BChart_1Q" hidden="1">#REF!</definedName>
    <definedName name="_6__123Graph_AChart_1Q" hidden="1">#REF!</definedName>
    <definedName name="_8__123Graph_BChart_1Q" hidden="1">#REF!</definedName>
    <definedName name="_A6" hidden="1">{#N/A,#N/A,FALSE,"Aging Summary";#N/A,#N/A,FALSE,"Ratio Analysis";#N/A,#N/A,FALSE,"Test 120 Day Accts";#N/A,#N/A,FALSE,"Tickmarks"}</definedName>
    <definedName name="_C_C6_">'[7]Bukti potong'!#REF!</definedName>
    <definedName name="_C_C8_">'[7]Bukti potong'!#REF!</definedName>
    <definedName name="_eli2" hidden="1">'[8]BBM-03'!$B$767:$B$769</definedName>
    <definedName name="_Order2" hidden="1">255</definedName>
    <definedName name="_PAK0456" hidden="1">{"'UIR'!$B$1:$U$37"}</definedName>
    <definedName name="_pak41" hidden="1">{"'UIR'!$B$1:$U$37"}</definedName>
    <definedName name="_Parse_Out" hidden="1">#REF!</definedName>
    <definedName name="_Regression_Int" hidden="1">1</definedName>
    <definedName name="_Regression_Out" hidden="1">'[9]Market Positioning'!#REF!</definedName>
    <definedName name="_Regression_X" hidden="1">#REF!</definedName>
    <definedName name="_Regression_Y" hidden="1">#REF!</definedName>
    <definedName name="_Si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ws2" hidden="1">#REF!</definedName>
    <definedName name="aa" hidden="1">38353+(ROW(OFFSET(#REF!,0,0,100,1))-1)*7.68686868686869</definedName>
    <definedName name="aaa" hidden="1">{#N/A,#N/A,FALSE,"Aging Summary";#N/A,#N/A,FALSE,"Ratio Analysis";#N/A,#N/A,FALSE,"Test 120 Day Accts";#N/A,#N/A,FALSE,"Tickmarks"}</definedName>
    <definedName name="AAA_DOCTOPS" hidden="1">"AAA_SET"</definedName>
    <definedName name="AAA_duser" hidden="1">"OFF"</definedName>
    <definedName name="aaaa" hidden="1">130+(ROW(OFFSET(#REF!,0,0,70,1))-1)*0.869565217391304</definedName>
    <definedName name="aaaaa" hidden="1">130+(ROW(OFFSET(#REF!,0,0,70,1))-1)*0.869565217391304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AW" hidden="1">{#N/A,#N/A,FALSE,"Aging Summary";#N/A,#N/A,FALSE,"Ratio Analysis";#N/A,#N/A,FALSE,"Test 120 Day Accts";#N/A,#N/A,FALSE,"Tickmarks"}</definedName>
    <definedName name="ab" hidden="1">{#N/A,#N/A,FALSE,"Aging Summary";#N/A,#N/A,FALSE,"Ratio Analysis";#N/A,#N/A,FALSE,"Test 120 Day Accts";#N/A,#N/A,FALSE,"Tickmarks"}</definedName>
    <definedName name="AccessDatabase" hidden="1">"C:\My Documents\MAUI MALL1.mdb"</definedName>
    <definedName name="ACwvu.CapersView." hidden="1">[10]MASTER!#REF!</definedName>
    <definedName name="ACwvu.Japan_Capers_Ed_Pub." hidden="1">#REF!</definedName>
    <definedName name="ACwvu.KJP_CC." hidden="1">#REF!</definedName>
    <definedName name="AE" hidden="1">{#N/A,#N/A,FALSE,"Aging Summary";#N/A,#N/A,FALSE,"Ratio Analysis";#N/A,#N/A,FALSE,"Test 120 Day Accts";#N/A,#N/A,FALSE,"Tickmarks"}</definedName>
    <definedName name="Akun">[11]AKUN!$E$13:$E$56</definedName>
    <definedName name="alamat_KTP">'[1]BOOKING FORM'!$O$13</definedName>
    <definedName name="ANGSUR">[12]KASUS8!$B$15:$H$38</definedName>
    <definedName name="anscount" hidden="1">4</definedName>
    <definedName name="ar" hidden="1">{#N/A,#N/A,FALSE,"Aging Summary";#N/A,#N/A,FALSE,"Ratio Analysis";#N/A,#N/A,FALSE,"Test 120 Day Accts";#N/A,#N/A,FALSE,"Tickmarks"}</definedName>
    <definedName name="AS" hidden="1">{#N/A,#N/A,FALSE,"Aging Summary";#N/A,#N/A,FALSE,"Ratio Analysis";#N/A,#N/A,FALSE,"Test 120 Day Accts";#N/A,#N/A,FALSE,"Tickmarks"}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e" hidden="1">{#N/A,#N/A,FALSE,"Aging Summary";#N/A,#N/A,FALSE,"Ratio Analysis";#N/A,#N/A,FALSE,"Test 120 Day Accts";#N/A,#N/A,FALSE,"Tickmarks"}</definedName>
    <definedName name="asfsdf" hidden="1">#REF!</definedName>
    <definedName name="asr" hidden="1">{#N/A,#N/A,FALSE,"Aging Summary";#N/A,#N/A,FALSE,"Ratio Analysis";#N/A,#N/A,FALSE,"Test 120 Day Accts";#N/A,#N/A,FALSE,"Tickmarks"}</definedName>
    <definedName name="ass" hidden="1">{#N/A,#N/A,FALSE,"Aging Summary";#N/A,#N/A,FALSE,"Ratio Analysis";#N/A,#N/A,FALSE,"Test 120 Day Accts";#N/A,#N/A,FALSE,"Tickmarks"}</definedName>
    <definedName name="asset" hidden="1">{#N/A,#N/A,FALSE,"Aging Summary";#N/A,#N/A,FALSE,"Ratio Analysis";#N/A,#N/A,FALSE,"Test 120 Day Accts";#N/A,#N/A,FALSE,"Tickmarks"}</definedName>
    <definedName name="ATV" hidden="1">{"'UIR'!$B$1:$U$37"}</definedName>
    <definedName name="b" hidden="1">{#N/A,#N/A,FALSE,"Aging Summary";#N/A,#N/A,FALSE,"Ratio Analysis";#N/A,#N/A,FALSE,"Test 120 Day Accts";#N/A,#N/A,FALSE,"Tickmarks"}</definedName>
    <definedName name="bb" hidden="1">38353+(ROW(OFFSET(#REF!,0,0,100,1))-1)*7.68686868686869</definedName>
    <definedName name="bbb" hidden="1">38353+(ROW(OFFSET(#REF!,0,0,100,1))-1)*7.68686868686869</definedName>
    <definedName name="bbbb" hidden="1">130+(ROW(OFFSET(#REF!,0,0,70,1))-1)*0.869565217391304</definedName>
    <definedName name="bbbbb" hidden="1">130+(ROW(OFFSET(#REF!,0,0,70,1))-1)*0.869565217391304</definedName>
    <definedName name="bbmok" hidden="1">'[13]BBM-03'!$B$767:$B$769</definedName>
    <definedName name="BG_Del" hidden="1">15</definedName>
    <definedName name="BG_Ins" hidden="1">4</definedName>
    <definedName name="BG_Mod" hidden="1">6</definedName>
    <definedName name="BookingFee">'[1]BOOKING FORM'!$O$34</definedName>
    <definedName name="BTLG" hidden="1">#REF!</definedName>
    <definedName name="BULAN">[12]KASUS10!$I$23:$I$47</definedName>
    <definedName name="BULAN1">[12]KASUS10!$J$23:$J$45</definedName>
    <definedName name="Casfl01" hidden="1">{#N/A,#N/A,FALSE,"Aging Summary";#N/A,#N/A,FALSE,"Ratio Analysis";#N/A,#N/A,FALSE,"Test 120 Day Accts";#N/A,#N/A,FALSE,"Tickmarks"}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hangeRange" hidden="1">[14]!ChangeRange</definedName>
    <definedName name="CIPHSJ" hidden="1">#REF!</definedName>
    <definedName name="coba" hidden="1">'[6]BBM-03'!$B$767:$B$769</definedName>
    <definedName name="conflict" hidden="1">[15]AUG02!#REF!</definedName>
    <definedName name="conflict_b" hidden="1">[15]AUG02!#REF!</definedName>
    <definedName name="ContentsHelp" hidden="1">[14]!ContentsHelp</definedName>
    <definedName name="CreateTable" hidden="1">[14]!CreateTable</definedName>
    <definedName name="cv" hidden="1">{#N/A,#N/A,FALSE,"Aging Summary";#N/A,#N/A,FALSE,"Ratio Analysis";#N/A,#N/A,FALSE,"Test 120 Day Accts";#N/A,#N/A,FALSE,"Tickmarks"}</definedName>
    <definedName name="Cwvu.CapersView." hidden="1">[10]MASTER!#REF!</definedName>
    <definedName name="Cwvu.Japan_Capers_Ed_Pub." hidden="1">[10]MASTER!#REF!</definedName>
    <definedName name="Cwvu.KJP_CC." hidden="1">[10]MASTER!#REF!,[10]MASTER!#REF!,[10]MASTER!#REF!,[10]MASTER!#REF!,[10]MASTER!#REF!,[10]MASTER!#REF!,[10]MASTER!#REF!,[10]MASTER!#REF!,[10]MASTER!#REF!,[10]MASTER!#REF!,[10]MASTER!#REF!,[10]MASTER!#REF!,[10]MASTER!#REF!,[10]MASTER!#REF!,[10]MASTER!#REF!,[10]MASTER!#REF!,[10]MASTER!#REF!,[10]MASTER!#REF!,[10]MASTER!#REF!,[10]MASTER!#REF!</definedName>
    <definedName name="d" hidden="1">{#N/A,#N/A,FALSE,"Aging Summary";#N/A,#N/A,FALSE,"Ratio Analysis";#N/A,#N/A,FALSE,"Test 120 Day Accts";#N/A,#N/A,FALSE,"Tickmarks"}</definedName>
    <definedName name="Daftar">[11]AKUN!$K$13:$K$56</definedName>
    <definedName name="Data.Dump" hidden="1">OFFSET([16]!Data.Top.Left,1,0)</definedName>
    <definedName name="_xlnm.Database">OFFSET([17]Data!$A$1,1,0,COUNTA([17]Data!$A$1:$A$65536)-1,COUNTA([17]Data!$A$1:$IV$1))</definedName>
    <definedName name="Def" hidden="1">#REF!</definedName>
    <definedName name="DeleteRange" hidden="1">[14]!DeleteRange</definedName>
    <definedName name="DeleteTable" hidden="1">[14]!DeleteTable</definedName>
    <definedName name="dina" hidden="1">{#N/A,#N/A,FALSE,"Aging Summary";#N/A,#N/A,FALSE,"Ratio Analysis";#N/A,#N/A,FALSE,"Test 120 Day Accts";#N/A,#N/A,FALSE,"Tickmarks"}</definedName>
    <definedName name="dsasd" hidden="1">#REF!</definedName>
    <definedName name="eresr" hidden="1">{#N/A,#N/A,FALSE,"Aging Summary";#N/A,#N/A,FALSE,"Ratio Analysis";#N/A,#N/A,FALSE,"Test 120 Day Accts";#N/A,#N/A,FALSE,"Tickmarks"}</definedName>
    <definedName name="ev.Calculation" hidden="1">-4135</definedName>
    <definedName name="ev.Initialized" hidden="1">FALSE</definedName>
    <definedName name="ewfefwfe" hidden="1">130+(ROW(OFFSET(#REF!,0,0,70,1))-1)*0.869565217391304</definedName>
    <definedName name="f" hidden="1">38353+(ROW(OFFSET(#REF!,0,0,70,1))-1)*11.0289855072464</definedName>
    <definedName name="fa20042005" hidden="1">{#N/A,#N/A,FALSE,"Aging Summary";#N/A,#N/A,FALSE,"Ratio Analysis";#N/A,#N/A,FALSE,"Test 120 Day Accts";#N/A,#N/A,FALSE,"Tickmarks"}</definedName>
    <definedName name="FAK" hidden="1">{"'UIR'!$B$1:$U$37"}</definedName>
    <definedName name="fEFFE" hidden="1">38353+(ROW(OFFSET(#REF!,0,0,100,1))-1)*7.68686868686869</definedName>
    <definedName name="fewfewef" hidden="1">130+(ROW(OFFSET(#REF!,0,0,70,1))-1)*0.869565217391304</definedName>
    <definedName name="fg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fga" hidden="1">38353+(ROW(OFFSET(#REF!,0,0,100,1))-1)*7.68686868686869</definedName>
    <definedName name="fgf" hidden="1">#REF!</definedName>
    <definedName name="fiskal" hidden="1">{#N/A,#N/A,FALSE,"Aging Summary";#N/A,#N/A,FALSE,"Ratio Analysis";#N/A,#N/A,FALSE,"Test 120 Day Accts";#N/A,#N/A,FALSE,"Tickmarks"}</definedName>
    <definedName name="GBH" hidden="1">{#N/A,#N/A,FALSE,"Aging Summary";#N/A,#N/A,FALSE,"Ratio Analysis";#N/A,#N/A,FALSE,"Test 120 Day Accts";#N/A,#N/A,FALSE,"Tickmarks"}</definedName>
    <definedName name="hai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HargaDiscount">'[1]BOOKING FORM'!$O$33</definedName>
    <definedName name="hg" hidden="1">{#N/A,#N/A,FALSE,"Aging Summary";#N/A,#N/A,FALSE,"Ratio Analysis";#N/A,#N/A,FALSE,"Test 120 Day Accts";#N/A,#N/A,FALSE,"Tickmarks"}</definedName>
    <definedName name="hgh" hidden="1">{#N/A,#N/A,FALSE,"Aging Summary";#N/A,#N/A,FALSE,"Ratio Analysis";#N/A,#N/A,FALSE,"Test 120 Day Accts";#N/A,#N/A,FALSE,"Tickmarks"}</definedName>
    <definedName name="hire" hidden="1">{#N/A,#N/A,FALSE,"Aging Summary";#N/A,#N/A,FALSE,"Ratio Analysis";#N/A,#N/A,FALSE,"Test 120 Day Accts";#N/A,#N/A,FALSE,"Tickmarks"}</definedName>
    <definedName name="hn.ModelVersion" hidden="1">1</definedName>
    <definedName name="hn.NoUpload" hidden="1">0</definedName>
    <definedName name="HP" hidden="1">{#N/A,#N/A,FALSE,"Aging Summary";#N/A,#N/A,FALSE,"Ratio Analysis";#N/A,#N/A,FALSE,"Test 120 Day Accts";#N/A,#N/A,FALSE,"Tickmarks"}</definedName>
    <definedName name="HTML_CodePage" hidden="1">1252</definedName>
    <definedName name="HTML_Control" hidden="1">{"'UIR'!$B$1:$U$37"}</definedName>
    <definedName name="HTML_Description" hidden="1">""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PathFileMac" hidden="1">"Macintosh HD:HomePageStuff:New_Home_Page:datafile:ctryprem.html"</definedName>
    <definedName name="HTML_Title" hidden="1">"2D ANIMATION PRODUCTION TABLE"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1</definedName>
    <definedName name="iak" hidden="1">'[3]BEFORE ALLOCATION'!#REF!</definedName>
    <definedName name="iko" hidden="1">{#N/A,#N/A,FALSE,"Aging Summary";#N/A,#N/A,FALSE,"Ratio Analysis";#N/A,#N/A,FALSE,"Test 120 Day Accts";#N/A,#N/A,FALSE,"Tickmarks"}</definedName>
    <definedName name="ioiitut" hidden="1">130+(ROW(OFFSET(#REF!,0,0,70,1))-1)*0.869565217391304</definedName>
    <definedName name="ioyttr" hidden="1">130+(ROW(OFFSET(#REF!,0,0,70,1))-1)*0.869565217391304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GROWTH_1" hidden="1">"IQ_EBITDA_GROWTH_1"</definedName>
    <definedName name="IQ_EBITDA_GROWTH_2" hidden="1">"IQ_EBITDA_GROWTH_2"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"08/14/2018 14:18:12"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"IQ_REVENUE_EST"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ueq" hidden="1">38353+(ROW(OFFSET(#REF!,0,0,70,1))-1)*11.0289855072464</definedName>
    <definedName name="iuky" hidden="1">38353+(ROW(OFFSET(#REF!,0,0,100,1))-1)*7.68686868686869</definedName>
    <definedName name="iyyrry" hidden="1">130+(ROW(OFFSET(#REF!,0,0,70,1))-1)*0.869565217391304</definedName>
    <definedName name="joko" hidden="1">{#N/A,#N/A,FALSE,"Aging Summary";#N/A,#N/A,FALSE,"Ratio Analysis";#N/A,#N/A,FALSE,"Test 120 Day Accts";#N/A,#N/A,FALSE,"Tickmarks"}</definedName>
    <definedName name="Jun" hidden="1">#REF!</definedName>
    <definedName name="K11.1.2" hidden="1">#REF!</definedName>
    <definedName name="K2_WBEVMODE" hidden="1">-1</definedName>
    <definedName name="kahsk" hidden="1">#REF!</definedName>
    <definedName name="kj" hidden="1">#REF!</definedName>
    <definedName name="kktuytu" hidden="1">130+(ROW(OFFSET(#REF!,0,0,70,1))-1)*0.869565217391304</definedName>
    <definedName name="kompare" hidden="1">#REF!</definedName>
    <definedName name="kon" hidden="1">#REF!</definedName>
    <definedName name="konsolidasi" hidden="1">{"'UIR'!$B$1:$U$37"}</definedName>
    <definedName name="lead" hidden="1">{#N/A,#N/A,FALSE,"Aging Summary";#N/A,#N/A,FALSE,"Ratio Analysis";#N/A,#N/A,FALSE,"Test 120 Day Accts";#N/A,#N/A,FALSE,"Tickmarks"}</definedName>
    <definedName name="lek" hidden="1">{#N/A,#N/A,FALSE,"Aging Summary";#N/A,#N/A,FALSE,"Ratio Analysis";#N/A,#N/A,FALSE,"Test 120 Day Accts";#N/A,#N/A,FALSE,"Tickmarks"}</definedName>
    <definedName name="Lett" hidden="1">#REF!</definedName>
    <definedName name="limcount" hidden="1">3</definedName>
    <definedName name="lina" hidden="1">{#N/A,#N/A,FALSE,"Aging Summary";#N/A,#N/A,FALSE,"Ratio Analysis";#N/A,#N/A,FALSE,"Test 120 Day Accts";#N/A,#N/A,FALSE,"Tickmarks"}</definedName>
    <definedName name="lmpp" hidden="1">'[18]HARGA MATERIAL'!$H$32:$Y$35</definedName>
    <definedName name="Location">[19]Lookup!$I$2:$I$36</definedName>
    <definedName name="LR" hidden="1">{#N/A,#N/A,FALSE,"Aging Summary";#N/A,#N/A,FALSE,"Ratio Analysis";#N/A,#N/A,FALSE,"Test 120 Day Accts";#N/A,#N/A,FALSE,"Tickmarks"}</definedName>
    <definedName name="LTI">[19]Lookup!$L$2:$L$3</definedName>
    <definedName name="MerrillPrintIt" hidden="1">[14]!MerrillPrintIt</definedName>
    <definedName name="NaikUSD" hidden="1">38353+(ROW(OFFSET(#REF!,0,0,70,1))-1)*11.0289855072464</definedName>
    <definedName name="nama">'[1]BOOKING FORM'!$O$11</definedName>
    <definedName name="NamaAkun">[11]AKUN!$D$13:$E$56</definedName>
    <definedName name="NewRange" hidden="1">[14]!NewRange</definedName>
    <definedName name="NO">[20]FORM01!$O$14:$O$33</definedName>
    <definedName name="No_ID">'[1]BOOKING FORM'!$O$12</definedName>
    <definedName name="nobooking">'[1]BOOKING FORM'!$AC$8</definedName>
    <definedName name="Nomor">[11]AKUN!$D$13:$D$56</definedName>
    <definedName name="o" hidden="1">{#N/A,#N/A,FALSE,"Aging Summary";#N/A,#N/A,FALSE,"Ratio Analysis";#N/A,#N/A,FALSE,"Test 120 Day Accts";#N/A,#N/A,FALSE,"Tickmarks"}</definedName>
    <definedName name="oce" hidden="1">{#N/A,#N/A,FALSE,"Aging Summary";#N/A,#N/A,FALSE,"Ratio Analysis";#N/A,#N/A,FALSE,"Test 120 Day Accts";#N/A,#N/A,FALSE,"Tickmarks"}</definedName>
    <definedName name="Ok" hidden="1">{#N/A,#N/A,FALSE,"Aging Summary";#N/A,#N/A,FALSE,"Ratio Analysis";#N/A,#N/A,FALSE,"Test 120 Day Accts";#N/A,#N/A,FALSE,"Tickmarks"}</definedName>
    <definedName name="OLF" hidden="1">'[21]HARGA MATERIAL'!$A$11:$A$208</definedName>
    <definedName name="oo" hidden="1">#REF!</definedName>
    <definedName name="Ownership" hidden="1">OFFSET([16]!Data.Top.Left,1,0)</definedName>
    <definedName name="PAJAK">[22]LATIH1!$J$6:$O$16</definedName>
    <definedName name="penawaran" hidden="1">[23]analis!#REF!</definedName>
    <definedName name="persiapan" hidden="1">'[24]HARGA MATERIAL'!$E$27:$E$33</definedName>
    <definedName name="PlaceDate">'[1]BOOKING FORM'!$F$50</definedName>
    <definedName name="PP" hidden="1">{#N/A,#N/A,FALSE,"Aging Summary";#N/A,#N/A,FALSE,"Ratio Analysis";#N/A,#N/A,FALSE,"Test 120 Day Accts";#N/A,#N/A,FALSE,"Tickmarks"}</definedName>
    <definedName name="ppe" hidden="1">#REF!</definedName>
    <definedName name="PPh_Final" hidden="1">{#N/A,#N/A,FALSE,"Aging Summary";#N/A,#N/A,FALSE,"Ratio Analysis";#N/A,#N/A,FALSE,"Test 120 Day Accts";#N/A,#N/A,FALSE,"Tickmarks"}</definedName>
    <definedName name="pr" hidden="1">{#N/A,#N/A,FALSE,"Aging Summary";#N/A,#N/A,FALSE,"Ratio Analysis";#N/A,#N/A,FALSE,"Test 120 Day Accts";#N/A,#N/A,FALSE,"Tickmarks"}</definedName>
    <definedName name="prelim" hidden="1">'[24]HARGA MATERIAL'!$A$11:$A$211</definedName>
    <definedName name="PUB_UserID" hidden="1">"MAYERX"</definedName>
    <definedName name="q" hidden="1">130+(ROW(OFFSET(#REF!,0,0,70,1))-1)*0.869565217391304</definedName>
    <definedName name="qd" hidden="1">{#N/A,#N/A,FALSE,"Aging Summary";#N/A,#N/A,FALSE,"Ratio Analysis";#N/A,#N/A,FALSE,"Test 120 Day Accts";#N/A,#N/A,FALSE,"Tickmarks"}</definedName>
    <definedName name="qq" hidden="1">'[25]BBM-03'!$B$767:$B$769</definedName>
    <definedName name="RedefinePrintTableRange" hidden="1">[14]!RedefinePrintTableRange</definedName>
    <definedName name="RekFis" hidden="1">{#N/A,#N/A,FALSE,"Aging Summary";#N/A,#N/A,FALSE,"Ratio Analysis";#N/A,#N/A,FALSE,"Test 120 Day Accts";#N/A,#N/A,FALSE,"Tickmarks"}</definedName>
    <definedName name="rertyy" hidden="1">130+(ROW(OFFSET(#REF!,0,0,70,1))-1)*0.869565217391304</definedName>
    <definedName name="rgeara" hidden="1">38353+(ROW(OFFSET(#REF!,0,0,70,1))-1)*11.0289855072464</definedName>
    <definedName name="rhm" hidden="1">{#N/A,#N/A,FALSE,"Aging Summary";#N/A,#N/A,FALSE,"Ratio Analysis";#N/A,#N/A,FALSE,"Test 120 Day Accts";#N/A,#N/A,FALSE,"Tickmarks"}</definedName>
    <definedName name="rup" hidden="1">{#N/A,#N/A,FALSE,"Aging Summary";#N/A,#N/A,FALSE,"Ratio Analysis";#N/A,#N/A,FALSE,"Test 120 Day Accts";#N/A,#N/A,FALSE,"Tickmarks"}</definedName>
    <definedName name="Rwvu.CapersView." hidden="1">#REF!</definedName>
    <definedName name="Rwvu.Japan_Capers_Ed_Pub." hidden="1">#REF!</definedName>
    <definedName name="Rwvu.KJP_CC." hidden="1">#REF!</definedName>
    <definedName name="s" hidden="1">{#N/A,#N/A,FALSE,"DATA"}</definedName>
    <definedName name="saefgtewaf" hidden="1">38353+(ROW(OFFSET(#REF!,0,0,70,1))-1)*11.0289855072464</definedName>
    <definedName name="Saldo">[11]AKUN!$E$13:$F$56</definedName>
    <definedName name="SAPBEXdnldView" hidden="1">"3ZKPB8S04EB8YFQWO0NG6ANTS"</definedName>
    <definedName name="SAPBEXrevision" hidden="1">1</definedName>
    <definedName name="SAPBEXsysID" hidden="1">"BW1"</definedName>
    <definedName name="SAPBEXwbID" hidden="1">"3QT0CSGPFJF5207Y4HB3WVBJY"</definedName>
    <definedName name="sbi" hidden="1">{#N/A,#N/A,FALSE,"Aging Summary";#N/A,#N/A,FALSE,"Ratio Analysis";#N/A,#N/A,FALSE,"Test 120 Day Accts";#N/A,#N/A,FALSE,"Tickmarks"}</definedName>
    <definedName name="sencount" hidden="1">3</definedName>
    <definedName name="SILANG">[20]FORM01!$R$14:$R$15</definedName>
    <definedName name="sjkkssfkjl" hidden="1">{"'UIR'!$B$1:$U$37"}</definedName>
    <definedName name="soet1" hidden="1">#REF!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SS" hidden="1">{#N/A,#N/A,FALSE,"Aging Summary";#N/A,#N/A,FALSE,"Ratio Analysis";#N/A,#N/A,FALSE,"Test 120 Day Accts";#N/A,#N/A,FALSE,"Tickmarks"}</definedName>
    <definedName name="Sumary" hidden="1">'[3]BEFORE ALLOCATION'!#REF!</definedName>
    <definedName name="Swvu.CapersView." hidden="1">[10]MASTER!#REF!</definedName>
    <definedName name="Swvu.Japan_Capers_Ed_Pub." hidden="1">#REF!</definedName>
    <definedName name="Swvu.KJP_CC." hidden="1">#REF!</definedName>
    <definedName name="Tanggal">[26]ANGGARAN!$C$30:$D$53</definedName>
    <definedName name="tb_acuan">'[27]Pajak GCB'!$A$1:$C$185</definedName>
    <definedName name="telp">'[1]BOOKING FORM'!$O$19</definedName>
    <definedName name="TextRefCopyRangeCount" hidden="1">33</definedName>
    <definedName name="TLL">'[1]BOOKING FORM'!$O$26</definedName>
    <definedName name="ttttrh" hidden="1">130+(ROW(OFFSET(#REF!,0,0,70,1))-1)*0.869565217391304</definedName>
    <definedName name="valuate" hidden="1">[28]Fixset!#REF!</definedName>
    <definedName name="W_S" hidden="1">#REF!</definedName>
    <definedName name="we" hidden="1">130+(ROW(OFFSET(#REF!,0,0,70,1))-1)*0.869565217391304</definedName>
    <definedName name="wefed" hidden="1">38353+(ROW(OFFSET(#REF!,0,0,70,1))-1)*11.0289855072464</definedName>
    <definedName name="WEFef" hidden="1">38353+(ROW(OFFSET(#REF!,0,0,100,1))-1)*7.68686868686869</definedName>
    <definedName name="werrg" hidden="1">38353+(ROW(OFFSET(#REF!,0,0,100,1))-1)*7.68686868686869</definedName>
    <definedName name="WHY" hidden="1">'[29]BBM-03'!$B$767:$B$769</definedName>
    <definedName name="wr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ging._.and._.Trend._.Analysis." hidden="1">{#N/A,#N/A,FALSE,"Aging Summary";#N/A,#N/A,FALSE,"Ratio Analysis";#N/A,#N/A,FALSE,"Test 120 Day Accts";#N/A,#N/A,FALSE,"Tickmarks"}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data." hidden="1">{#N/A,#N/A,FALSE,"DATA"}</definedName>
    <definedName name="wrn.INPUT." hidden="1">{#N/A,#N/A,FALSE,"12MFC"}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in" hidden="1">{#N/A,#N/A,FALSE,"12MFC"}</definedName>
    <definedName name="x" hidden="1">38353+(ROW(OFFSET(#REF!,0,0,70,1))-1)*11.0289855072464</definedName>
    <definedName name="xdata1" hidden="1">38353+(ROW(OFFSET(#REF!,0,0,70,1))-1)*11.0289855072464</definedName>
    <definedName name="xdata2" hidden="1">38353+(ROW(OFFSET(#REF!,0,0,70,1))-1)*11.0289855072464</definedName>
    <definedName name="xdata3" hidden="1">38353+(ROW(OFFSET(#REF!,0,0,100,1))-1)*7.68686868686869</definedName>
    <definedName name="xdata4" hidden="1">38353+(ROW(OFFSET(#REF!,0,0,100,1))-1)*7.68686868686869</definedName>
    <definedName name="xdata5" hidden="1">130+(ROW(OFFSET(#REF!,0,0,70,1))-1)*0.869565217391304</definedName>
    <definedName name="xdata6" hidden="1">130+(ROW(OFFSET(#REF!,0,0,70,1))-1)*0.869565217391304</definedName>
    <definedName name="XRefColumnsCount" hidden="1">4</definedName>
    <definedName name="XRefCopyRangeCount" hidden="1">1</definedName>
    <definedName name="XRefPasteRangeCount" hidden="1">2</definedName>
    <definedName name="xxxxxx" hidden="1">{#N/A,#N/A,FALSE,"Aging Summary";#N/A,#N/A,FALSE,"Ratio Analysis";#N/A,#N/A,FALSE,"Test 120 Day Accts";#N/A,#N/A,FALSE,"Tickmarks"}</definedName>
    <definedName name="yes" hidden="1">{#N/A,#N/A,FALSE,"Aging Summary";#N/A,#N/A,FALSE,"Ratio Analysis";#N/A,#N/A,FALSE,"Test 120 Day Accts";#N/A,#N/A,FALSE,"Tickmarks"}</definedName>
    <definedName name="yewert" hidden="1">38353+(ROW(OFFSET(#REF!,0,0,70,1))-1)*11.0289855072464</definedName>
    <definedName name="yjjyy" hidden="1">38353+(ROW(OFFSET(#REF!,0,0,100,1))-1)*7.68686868686869</definedName>
    <definedName name="ytuy" hidden="1">38353+(ROW(OFFSET(#REF!,0,0,70,1))-1)*11.0289855072464</definedName>
    <definedName name="z" hidden="1">{#N/A,#N/A,FALSE,"Aging Summary";#N/A,#N/A,FALSE,"Ratio Analysis";#N/A,#N/A,FALSE,"Test 120 Day Accts";#N/A,#N/A,FALSE,"Tickmarks"}</definedName>
    <definedName name="Z_9A428CE1_B4D9_11D0_A8AA_0000C071AEE7_.wvu.Cols" hidden="1">[10]MASTER!$A$1:$Q$65536,[10]MASTER!$Y$1:$Z$65536</definedName>
    <definedName name="Z_9A428CE1_B4D9_11D0_A8AA_0000C071AEE7_.wvu.PrintArea" hidden="1">#REF!</definedName>
    <definedName name="Z_9A428CE1_B4D9_11D0_A8AA_0000C071AEE7_.wvu.Rows" hidden="1">[10]MASTER!#REF!,[10]MASTER!#REF!,[10]MASTER!#REF!,[10]MASTER!#REF!,[10]MASTER!#REF!,[10]MASTER!#REF!,[10]MASTER!#REF!,[10]MASTER!$A$98:$IV$272</definedName>
    <definedName name="Z_9B19BDE0_8837_11D2_B8AD_00805A141F3A_.wvu.FilterData" hidden="1">#REF!</definedName>
    <definedName name="Z_D89E2601_86A3_11D2_B8AD_00805A141F3A_.wvu.FilterData" hidden="1">#REF!</definedName>
    <definedName name="Z_EBC69460_8865_11D2_B8AD_00805A141F3A_.wvu.FilterData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1" i="1" l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L12" i="1"/>
  <c r="M12" i="1" s="1"/>
  <c r="N12" i="1" s="1"/>
  <c r="K12" i="1"/>
  <c r="B12" i="1"/>
  <c r="B11" i="1"/>
  <c r="B10" i="1"/>
  <c r="B9" i="1"/>
  <c r="B8" i="1"/>
  <c r="B7" i="1"/>
  <c r="M6" i="1"/>
  <c r="N6" i="1" s="1"/>
  <c r="O6" i="1" s="1"/>
  <c r="K16" i="1" s="1"/>
  <c r="O12" i="1" l="1"/>
  <c r="L16" i="1" s="1"/>
  <c r="M16" i="1" s="1"/>
  <c r="L20" i="1" s="1"/>
  <c r="M20" i="1" s="1"/>
</calcChain>
</file>

<file path=xl/sharedStrings.xml><?xml version="1.0" encoding="utf-8"?>
<sst xmlns="http://schemas.openxmlformats.org/spreadsheetml/2006/main" count="293" uniqueCount="30">
  <si>
    <t>KALKULATOR PPH 21 DENGAN METODE TER (GAJI)</t>
  </si>
  <si>
    <t>Jenis TER</t>
  </si>
  <si>
    <t>Penghasilan Bruto</t>
  </si>
  <si>
    <t>TER</t>
  </si>
  <si>
    <t>Deskripsi</t>
  </si>
  <si>
    <t>BESARAN PENGHASILAN</t>
  </si>
  <si>
    <t>TANGGUNGAN</t>
  </si>
  <si>
    <t>JENIS TER</t>
  </si>
  <si>
    <t>TARIF</t>
  </si>
  <si>
    <t>BESARAN PPH 21</t>
  </si>
  <si>
    <t>TER A</t>
  </si>
  <si>
    <t>s.d</t>
  </si>
  <si>
    <t>TK/0</t>
  </si>
  <si>
    <t>TK/1</t>
  </si>
  <si>
    <t>K/0</t>
  </si>
  <si>
    <t>TK/2</t>
  </si>
  <si>
    <t>TER B</t>
  </si>
  <si>
    <t>KALKULATOR PPH 21 DENGAN METODE TER (GAJI + SERVIS)</t>
  </si>
  <si>
    <t>TK/3</t>
  </si>
  <si>
    <t>K/1</t>
  </si>
  <si>
    <t>BESARAN PENGHASILAN (GAJI + SERVICE)</t>
  </si>
  <si>
    <t>K/2</t>
  </si>
  <si>
    <t>K/3</t>
  </si>
  <si>
    <t>TER C</t>
  </si>
  <si>
    <t>PPH 21 GAJI</t>
  </si>
  <si>
    <t>PPH 21 GAJI + SERVIS</t>
  </si>
  <si>
    <t>PPH SERVIS</t>
  </si>
  <si>
    <t>PTKP per bulan</t>
  </si>
  <si>
    <t>BESARAN SERVIS</t>
  </si>
  <si>
    <t>SERVIS BERSIH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</si>
</sst>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0"/>
      <color indexed="8"/>
      <name val="Arial"/>
      <family val="2"/>
      <charset val="1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0"/>
      <color indexed="8"/>
      <name val="Arial"/>
      <family val="2"/>
      <charset val="1"/>
    </font>
    <font>
      <b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b/>
      <sz val="11"/>
      <color rgb="FF002060"/>
      <name val="Calibri"/>
      <family val="2"/>
      <scheme val="minor"/>
    </font>
    <font>
      <b/>
      <sz val="11"/>
      <color rgb="FF002060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1" fontId="4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7" fillId="0" borderId="0"/>
    <xf numFmtId="41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2" applyAlignment="1">
      <alignment horizontal="center" vertical="center"/>
    </xf>
    <xf numFmtId="0" fontId="3" fillId="2" borderId="0" xfId="2" applyFont="1" applyFill="1"/>
    <xf numFmtId="0" fontId="0" fillId="0" borderId="4" xfId="0" applyBorder="1"/>
    <xf numFmtId="0" fontId="0" fillId="0" borderId="5" xfId="0" applyBorder="1"/>
    <xf numFmtId="0" fontId="6" fillId="3" borderId="6" xfId="2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2" fillId="4" borderId="0" xfId="2" applyFill="1" applyAlignment="1">
      <alignment horizontal="center" vertical="center"/>
    </xf>
    <xf numFmtId="0" fontId="5" fillId="5" borderId="10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/>
    </xf>
    <xf numFmtId="0" fontId="2" fillId="6" borderId="11" xfId="2" applyFill="1" applyBorder="1" applyAlignment="1">
      <alignment horizontal="center" vertical="center"/>
    </xf>
    <xf numFmtId="164" fontId="0" fillId="6" borderId="12" xfId="3" applyNumberFormat="1" applyFont="1" applyFill="1" applyBorder="1" applyAlignment="1">
      <alignment horizontal="center" vertical="center"/>
    </xf>
    <xf numFmtId="0" fontId="2" fillId="6" borderId="0" xfId="2" applyFill="1" applyAlignment="1">
      <alignment horizontal="center" vertical="center"/>
    </xf>
    <xf numFmtId="164" fontId="0" fillId="6" borderId="13" xfId="3" applyNumberFormat="1" applyFont="1" applyFill="1" applyBorder="1" applyAlignment="1">
      <alignment horizontal="center" vertical="center"/>
    </xf>
    <xf numFmtId="9" fontId="2" fillId="6" borderId="13" xfId="2" applyNumberFormat="1" applyFill="1" applyBorder="1" applyAlignment="1">
      <alignment horizontal="center" vertical="center"/>
    </xf>
    <xf numFmtId="9" fontId="2" fillId="4" borderId="0" xfId="2" applyNumberFormat="1" applyFill="1" applyAlignment="1">
      <alignment horizontal="center" vertical="center"/>
    </xf>
    <xf numFmtId="0" fontId="2" fillId="0" borderId="13" xfId="2" applyBorder="1" applyAlignment="1">
      <alignment horizontal="center" vertical="center"/>
    </xf>
    <xf numFmtId="0" fontId="2" fillId="0" borderId="11" xfId="2" applyBorder="1" applyAlignment="1">
      <alignment horizontal="center" vertical="center"/>
    </xf>
    <xf numFmtId="41" fontId="0" fillId="7" borderId="10" xfId="1" applyFont="1" applyFill="1" applyBorder="1"/>
    <xf numFmtId="0" fontId="0" fillId="7" borderId="10" xfId="0" applyFill="1" applyBorder="1"/>
    <xf numFmtId="0" fontId="8" fillId="2" borderId="10" xfId="4" applyFont="1" applyFill="1" applyBorder="1" applyAlignment="1">
      <alignment horizontal="center" vertical="center"/>
    </xf>
    <xf numFmtId="10" fontId="8" fillId="2" borderId="10" xfId="4" applyNumberFormat="1" applyFont="1" applyFill="1" applyBorder="1" applyAlignment="1">
      <alignment horizontal="center" vertical="center"/>
    </xf>
    <xf numFmtId="41" fontId="5" fillId="0" borderId="10" xfId="1" applyFont="1" applyBorder="1"/>
    <xf numFmtId="10" fontId="2" fillId="6" borderId="13" xfId="2" applyNumberFormat="1" applyFill="1" applyBorder="1" applyAlignment="1">
      <alignment horizontal="center" vertical="center"/>
    </xf>
    <xf numFmtId="10" fontId="2" fillId="4" borderId="0" xfId="2" applyNumberFormat="1" applyFill="1" applyAlignment="1">
      <alignment horizontal="center" vertical="center"/>
    </xf>
    <xf numFmtId="41" fontId="0" fillId="0" borderId="10" xfId="1" applyFont="1" applyBorder="1"/>
    <xf numFmtId="0" fontId="0" fillId="0" borderId="10" xfId="0" applyBorder="1"/>
    <xf numFmtId="0" fontId="2" fillId="0" borderId="14" xfId="2" applyBorder="1" applyAlignment="1">
      <alignment horizontal="center" vertical="center"/>
    </xf>
    <xf numFmtId="0" fontId="2" fillId="0" borderId="15" xfId="2" applyBorder="1" applyAlignment="1">
      <alignment horizontal="center" vertical="center"/>
    </xf>
    <xf numFmtId="0" fontId="9" fillId="2" borderId="0" xfId="2" applyFont="1" applyFill="1"/>
    <xf numFmtId="0" fontId="10" fillId="2" borderId="0" xfId="2" applyFont="1" applyFill="1"/>
    <xf numFmtId="0" fontId="6" fillId="2" borderId="0" xfId="2" applyFont="1" applyFill="1" applyAlignment="1">
      <alignment horizontal="center" vertical="center"/>
    </xf>
    <xf numFmtId="0" fontId="6" fillId="0" borderId="0" xfId="2" applyFont="1" applyAlignment="1">
      <alignment horizontal="center" vertical="center"/>
    </xf>
    <xf numFmtId="41" fontId="0" fillId="0" borderId="0" xfId="5" applyFont="1" applyAlignment="1">
      <alignment horizontal="center" vertical="center"/>
    </xf>
    <xf numFmtId="41" fontId="11" fillId="2" borderId="0" xfId="5" applyFont="1" applyFill="1" applyAlignment="1">
      <alignment horizontal="center" vertical="center"/>
    </xf>
    <xf numFmtId="0" fontId="0" fillId="0" borderId="16" xfId="0" applyBorder="1"/>
    <xf numFmtId="0" fontId="0" fillId="0" borderId="17" xfId="0" applyBorder="1"/>
    <xf numFmtId="41" fontId="12" fillId="2" borderId="0" xfId="5" applyFont="1" applyFill="1" applyAlignment="1">
      <alignment horizontal="center" vertical="center"/>
    </xf>
    <xf numFmtId="164" fontId="0" fillId="0" borderId="0" xfId="3" applyNumberFormat="1" applyFont="1" applyFill="1" applyBorder="1" applyAlignment="1">
      <alignment horizontal="center" vertical="center"/>
    </xf>
    <xf numFmtId="9" fontId="2" fillId="0" borderId="0" xfId="2" applyNumberFormat="1" applyAlignment="1">
      <alignment horizontal="center" vertical="center"/>
    </xf>
    <xf numFmtId="0" fontId="3" fillId="2" borderId="0" xfId="2" applyFont="1" applyFill="1" applyAlignment="1">
      <alignment vertical="center"/>
    </xf>
    <xf numFmtId="41" fontId="3" fillId="2" borderId="0" xfId="5" applyFont="1" applyFill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/>
    </xf>
    <xf numFmtId="0" fontId="6" fillId="3" borderId="8" xfId="2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6">
    <cellStyle name="Comma [0]" xfId="1" builtinId="6"/>
    <cellStyle name="Comma [0] 2" xfId="5" xr:uid="{F59ECC61-DA01-4D5E-85D5-90FD48D3122F}"/>
    <cellStyle name="Comma 3" xfId="3" xr:uid="{2C99826D-7705-42E6-9BDF-2EC2DE6F16FD}"/>
    <cellStyle name="Normal" xfId="0" builtinId="0"/>
    <cellStyle name="Normal 3" xfId="2" xr:uid="{F8094B1A-231F-4597-ABC1-BC308F011B5B}"/>
    <cellStyle name="Normal 83" xfId="4" xr:uid="{99133B55-B056-4F6E-98AA-8B301C4364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ornferry-my.sharepoint.com/Users/axioo/AppData/Local/Temp/Rar$DI00.625/THE%20H%20TOWER_09%20juni%202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GNAS\MY%20DOCUMENTS\Es%20Ka%20Be\SKB%2025\Aruki\Lampiran%20net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working%20proc\Accounts\Forecasts\BCM\2004\2004BCM_SITE_Rev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narxp\Project%20FS\Rjpp%202007-2011\Rjpp%202007-2011\Eko\ZTEMP\Bisnisplan%202003\RJP%20&amp;%20PP1%202003%20Exist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WORKING%20PROC\DOCUME~1\aajkap.AAJ\LOCALS~1\Temp\C.Notes.Data\Documents%20and%20Settings\Tan%20Meliana\Local%20Settings\Temp\8824672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7F3474\L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ornferry-my.sharepoint.com/My%20Documents/PAJAK/PJK%202002/spt-mas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2\data_sharing\client\2008\kopegmar\audited_08\revisi\report\Documents%20and%20Settings\Windows%20XP\My%20Documents\2005\Indofarma\Review%2031-03-05\Documents%20and%20Settings\L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My%20Documents\LWO\Workings\Wenang%20-%20Menad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ornferry-my.sharepoint.com/Users/axioo/AppData/Local/Temp/Rar$DI00.625/Bukti%20Kerja/Proyek%20MMC%20Tower/Program/DATA_gabungan/Data_exel/P.%20MMC%20TOWER/SAKKU-HK_new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ornferry-my.sharepoint.com/BUKU/BANK/SIMPA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DE92A42\BBM-03%20harga%20%20ok...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Library" Target="POWER5.XLA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erator\WORKING%20PROC\DOCUME~1\aajkap.AAJ\LOCALS~1\Temp\C.Notes.Data\WINNT\TEMP\Fixed%20Assets\8824672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Jaktour\Kerjaan%20dodi\IMBALAN\GAJI%202021\Worksheet%20in%20C:%20PPAF%20K31ana%20Fin&amp;Acc%20Accounting%20Form%20BTN-070512.doc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PARTMENT%20JABABEKA\Mutasi\Database\Microsoft%20Office\Data_exel\DataValVLookup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yek\SP3082%20Hero%20PIM\020201%20HERO%20PIM%20R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ornferry-my.sharepoint.com/Users/MedinaA/Documents/Client/Project/On%20going%20project/22.%20Medco%20Foundation/Realization/Data%20collection/Client%20data/01.%20ID_HCR_Company%20Name_2018_Gross%20(1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ornferry-my.sharepoint.com/DOCUME~1/YANDHI~1/LOCALS~1/Temp/Rar$DI00.968/BAB0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ia\share_ls\My%20Documents\Proyek\310801Pabrik%20PT%20Rehau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ornferry-my.sharepoint.com/DOCUME~1/YANDHI~1/LOCALS~1/Temp/Rar$DI40.859/BAB1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%20SEMENTARA\Tahun%202009\BV\PEFINDO\JASUINDO%20TIGA%20PERKASA\Report\Report\Koper\SBSF\BP%20semi%20Final\AGP\Kletek\Budget\2007\General%20Service\2005\FORM\tahun%202001\Agus\PEMD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hya\yahya_share\My%20Documents\Proyek\SP%20Pasar%20Baru-Bandung\Proyek\SP%20Sport%20Center%20Gading%20Serpong\120601Sport%20Center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EC86DF5\BBM-03%20harga%20%20ok...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ornferry-my.sharepoint.com/NASKAH/LATEX/SOAL-B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SHARE\Keuangan\DATA%20PAJAK\PAJAK%202022\JUNI\Service\Pajak%20Juni%202022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restricted\My%20Documents\Karyadi\Feasibility%20Study\cakra\Final\My%20Documents\coba\Kalla%20Inti%20Karsa%20-%20Financial%20Projectio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2\data_sharing\Documents%20and%20Settings\Latitude\My%20Documents\2003\Indofarma\Final\Indonesia\kimu\December\BBM-03%20harga%20%20ok..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 UTAMA"/>
      <sheetName val="PMSR"/>
      <sheetName val="BOOKING FORM"/>
      <sheetName val="TANDA TERIMA"/>
      <sheetName val="Kwitansi"/>
      <sheetName val="Trans"/>
      <sheetName val="INSTALL"/>
      <sheetName val="STOK"/>
      <sheetName val="BUKTI PESAN"/>
      <sheetName val="Py.Schedule"/>
      <sheetName val="BA"/>
      <sheetName val="BA STPK"/>
      <sheetName val="Defect List"/>
      <sheetName val="LT.11-12_CLINIC"/>
      <sheetName val="LT.15-16_OFFICE"/>
      <sheetName val="LT.22"/>
      <sheetName val="LT.23"/>
      <sheetName val="LT.24"/>
      <sheetName val="LT.25"/>
      <sheetName val="KPR"/>
      <sheetName val="LT.26"/>
      <sheetName val="LT.27"/>
      <sheetName val="LT.28"/>
      <sheetName val="LT.29"/>
      <sheetName val="LT.30"/>
      <sheetName val="a"/>
      <sheetName val="USer1"/>
      <sheetName val="Sheet1"/>
      <sheetName val="Bangunan Utama"/>
      <sheetName val="AKUN"/>
      <sheetName val="villa"/>
    </sheetNames>
    <sheetDataSet>
      <sheetData sheetId="0" refreshError="1"/>
      <sheetData sheetId="1" refreshError="1"/>
      <sheetData sheetId="2">
        <row r="8">
          <cell r="AC8" t="str">
            <v>DPU-BF/M.007/VI/2010</v>
          </cell>
        </row>
        <row r="11">
          <cell r="O11" t="str">
            <v>Erwin Peetosutan, MD</v>
          </cell>
        </row>
        <row r="26">
          <cell r="O26" t="str">
            <v xml:space="preserve"> C2/ 24/ 55 m2</v>
          </cell>
        </row>
        <row r="33">
          <cell r="O33">
            <v>1175625000</v>
          </cell>
        </row>
        <row r="34">
          <cell r="O34">
            <v>834415500</v>
          </cell>
        </row>
        <row r="50">
          <cell r="F50" t="str">
            <v>Jakarta,  09 Juni 2010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2">
          <cell r="S12">
            <v>12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FORE ALLOCATION"/>
      <sheetName val="OVERHEAD ALLOCATION"/>
      <sheetName val="AFTER ALLOCATION"/>
      <sheetName val="Percentages"/>
      <sheetName val="Allocated"/>
      <sheetName val="Unallocated"/>
      <sheetName val="Upload"/>
      <sheetName val="Lookup"/>
      <sheetName val="summary-1"/>
      <sheetName val="AUG02"/>
      <sheetName val="OLDMAP"/>
      <sheetName val="C1 NOV"/>
      <sheetName val="R1 Jan"/>
    </sheetNames>
    <sheetDataSet>
      <sheetData sheetId="0" refreshError="1">
        <row r="2">
          <cell r="B2">
            <v>37987</v>
          </cell>
          <cell r="C2">
            <v>38018</v>
          </cell>
          <cell r="D2">
            <v>38047</v>
          </cell>
          <cell r="E2">
            <v>38078</v>
          </cell>
          <cell r="F2">
            <v>38108</v>
          </cell>
          <cell r="G2">
            <v>38139</v>
          </cell>
          <cell r="H2">
            <v>38169</v>
          </cell>
          <cell r="I2">
            <v>38200</v>
          </cell>
          <cell r="J2">
            <v>38231</v>
          </cell>
          <cell r="K2">
            <v>38261</v>
          </cell>
          <cell r="L2">
            <v>38292</v>
          </cell>
          <cell r="M2">
            <v>38322</v>
          </cell>
        </row>
        <row r="14">
          <cell r="B14">
            <v>15363586.732631331</v>
          </cell>
          <cell r="C14">
            <v>16120958.604376627</v>
          </cell>
          <cell r="D14">
            <v>17589618.420943651</v>
          </cell>
          <cell r="E14">
            <v>17779871.682535127</v>
          </cell>
          <cell r="F14">
            <v>17597273.318272721</v>
          </cell>
          <cell r="G14">
            <v>17587062.50137677</v>
          </cell>
          <cell r="H14">
            <v>17639518.911600217</v>
          </cell>
          <cell r="I14">
            <v>17506580.496347848</v>
          </cell>
          <cell r="J14">
            <v>17168794.160132673</v>
          </cell>
          <cell r="K14">
            <v>13514503.990822095</v>
          </cell>
          <cell r="L14">
            <v>14018150.194742912</v>
          </cell>
          <cell r="M14">
            <v>13288014.788714815</v>
          </cell>
        </row>
        <row r="27">
          <cell r="B27">
            <v>15181797.452177152</v>
          </cell>
          <cell r="C27">
            <v>15292358.446852207</v>
          </cell>
          <cell r="D27">
            <v>16465285.435870962</v>
          </cell>
          <cell r="E27">
            <v>16123947.70372835</v>
          </cell>
          <cell r="F27">
            <v>16020416.493865909</v>
          </cell>
          <cell r="G27">
            <v>16025217.244504914</v>
          </cell>
          <cell r="H27">
            <v>16435019.874886325</v>
          </cell>
          <cell r="I27">
            <v>16216586.475138847</v>
          </cell>
          <cell r="J27">
            <v>15889178.634411616</v>
          </cell>
          <cell r="K27">
            <v>12424214.087818515</v>
          </cell>
          <cell r="L27">
            <v>12765836.571138497</v>
          </cell>
          <cell r="M27">
            <v>12566655.75967402</v>
          </cell>
        </row>
        <row r="58">
          <cell r="B58">
            <v>-218389.08722582087</v>
          </cell>
          <cell r="C58">
            <v>434748.99434442073</v>
          </cell>
          <cell r="D58">
            <v>699521.69189268723</v>
          </cell>
          <cell r="E58">
            <v>1281077.1656267773</v>
          </cell>
          <cell r="F58">
            <v>1200986.2712268122</v>
          </cell>
          <cell r="G58">
            <v>1252932.9436918572</v>
          </cell>
          <cell r="H58">
            <v>855212.22353389114</v>
          </cell>
          <cell r="I58">
            <v>915352.20802900195</v>
          </cell>
          <cell r="J58">
            <v>918155.55254105665</v>
          </cell>
          <cell r="K58">
            <v>729715.08982358128</v>
          </cell>
          <cell r="L58">
            <v>869740.81042441539</v>
          </cell>
          <cell r="M58">
            <v>335521.21586079523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mand Button"/>
      <sheetName val="Asumsi"/>
      <sheetName val="Perhitungan"/>
      <sheetName val="Presentasi"/>
      <sheetName val="Investasi"/>
      <sheetName val="Sheet1"/>
      <sheetName val="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02"/>
      <sheetName val="AUG02"/>
      <sheetName val="Current"/>
      <sheetName val="Price"/>
      <sheetName val="AA.1.1 BNI"/>
      <sheetName val="NOV03"/>
      <sheetName val="OCT03"/>
      <sheetName val="SEP03"/>
      <sheetName val="AUG03"/>
      <sheetName val="MAR03"/>
      <sheetName val="DEC02"/>
      <sheetName val="NOV02"/>
      <sheetName val="OCT02"/>
      <sheetName val="CODE"/>
      <sheetName val="Marshal -1"/>
      <sheetName val="Corptax2003"/>
      <sheetName val="PRBT-1"/>
      <sheetName val="new VHCL"/>
      <sheetName val="Major assumption"/>
      <sheetName val="Difference Cons"/>
      <sheetName val="Answer"/>
      <sheetName val="Instructions"/>
      <sheetName val="mgr &amp; staff"/>
      <sheetName val="FKT_PJK"/>
      <sheetName val="BP1_23"/>
      <sheetName val="WPL-HB"/>
      <sheetName val="HYPEC AJE"/>
      <sheetName val="WPL-HP"/>
      <sheetName val="WPL-HJ"/>
      <sheetName val="GL"/>
      <sheetName val="Depr Summ"/>
      <sheetName val="Rekap BT4(2)"/>
      <sheetName val="Identitas"/>
      <sheetName val="PPh 23"/>
      <sheetName val="1195 B1"/>
      <sheetName val="Sheet1"/>
      <sheetName val="Tab!"/>
      <sheetName val="ner"/>
      <sheetName val="Posting"/>
      <sheetName val="Rate"/>
      <sheetName val="code2"/>
      <sheetName val="data_val"/>
      <sheetName val="laporan"/>
      <sheetName val="COA"/>
      <sheetName val="Transactions"/>
      <sheetName val="LEDGER"/>
      <sheetName val="SUD"/>
      <sheetName val="Links"/>
      <sheetName val="88246723"/>
      <sheetName val="DATA"/>
      <sheetName val="COGS"/>
      <sheetName val="Ist"/>
      <sheetName val="Profile"/>
      <sheetName val="Input"/>
      <sheetName val="Menu"/>
      <sheetName val="Analisa Piutang"/>
      <sheetName val="budget idr"/>
      <sheetName val="ytd _dept_"/>
      <sheetName val="GD-BB Kt. A"/>
      <sheetName val="Komputer"/>
      <sheetName val="CODESS"/>
      <sheetName val="Currency"/>
      <sheetName val="daft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M-03"/>
      <sheetName val="BBM-03 (2)"/>
      <sheetName val="Concrete"/>
    </sheetNames>
    <sheetDataSet>
      <sheetData sheetId="0">
        <row r="767">
          <cell r="B767">
            <v>739</v>
          </cell>
        </row>
        <row r="768">
          <cell r="B768">
            <v>740</v>
          </cell>
        </row>
        <row r="769">
          <cell r="B769">
            <v>741</v>
          </cell>
        </row>
      </sheetData>
      <sheetData sheetId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s"/>
      <sheetName val="Jan'03(salah)"/>
      <sheetName val="Jan'03 rev(betul)"/>
      <sheetName val="Feb'03"/>
      <sheetName val="Mar'03"/>
      <sheetName val="Apr'03"/>
      <sheetName val="Apr'03 (rev)"/>
      <sheetName val="Apr'03 pajak"/>
      <sheetName val="rekap jan-apr"/>
      <sheetName val="Mei '03"/>
      <sheetName val="Mei '03 (2)"/>
      <sheetName val="Juni'o3"/>
      <sheetName val="Juli'03"/>
      <sheetName val="Agt'03"/>
      <sheetName val="Sept'03"/>
      <sheetName val="td. terima"/>
      <sheetName val="prc"/>
      <sheetName val="prc2"/>
      <sheetName val="jaga"/>
      <sheetName val="Bukti"/>
      <sheetName val="Bukti potong"/>
      <sheetName val="Daftar1"/>
      <sheetName val="Daftar2"/>
      <sheetName val="Daftar3"/>
      <sheetName val="Daftar4"/>
      <sheetName val="Daftar5"/>
      <sheetName val="Daftar6"/>
      <sheetName val="Daftar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M-03"/>
      <sheetName val="BBM-03 (2)"/>
      <sheetName val="M-GOWA"/>
      <sheetName val="Peralatan"/>
    </sheetNames>
    <sheetDataSet>
      <sheetData sheetId="0">
        <row r="767">
          <cell r="B767">
            <v>739</v>
          </cell>
        </row>
        <row r="768">
          <cell r="B768">
            <v>740</v>
          </cell>
        </row>
        <row r="769">
          <cell r="B769">
            <v>741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t-Rmh-Rk"/>
      <sheetName val="Menado - Land Dev. (Final)"/>
      <sheetName val="Detail Land dev."/>
      <sheetName val="Land Dev-Scen 2"/>
      <sheetName val="Detail Land dev. (2)"/>
      <sheetName val="Menado - HGB2. (Final) "/>
      <sheetName val="Detail HGB 2"/>
      <sheetName val="Sales Comp."/>
      <sheetName val="Sales Comp. (2)"/>
      <sheetName val="Sales Comp. (HGB No. 2)"/>
      <sheetName val="Sales Comp. (HGB No. 2) (2)"/>
      <sheetName val="Positioning"/>
      <sheetName val="Market Position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  <sheetName val="EXTERNA_x0000__x0000_ANIMATION"/>
      <sheetName val="Jateng"/>
      <sheetName val="Jatim"/>
      <sheetName val="contekan"/>
      <sheetName val="ASUMPTION"/>
      <sheetName val="KSO-Revenue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General Info"/>
      <sheetName val="2003 ACT CFlow"/>
      <sheetName val="2003 BGT C Flow"/>
      <sheetName val="HO Use"/>
      <sheetName val="Engineering Workload"/>
      <sheetName val="Report"/>
      <sheetName val="2D_REPNew2.4"/>
      <sheetName val="summary-final"/>
      <sheetName val="Ref"/>
      <sheetName val="EXTERNA??ANIMATION"/>
      <sheetName val="ANGGARAN"/>
      <sheetName val="BODP-16KOLOM"/>
      <sheetName val="1152000"/>
      <sheetName val="Stock Report"/>
      <sheetName val="lookup table"/>
      <sheetName val="Table 5"/>
      <sheetName val="TB0"/>
      <sheetName val="2-asi-00"/>
      <sheetName val="Rates"/>
      <sheetName val="SCH 3"/>
      <sheetName val="PRODUCTION_REPORTS"/>
      <sheetName val="ANIMATION_ONLY"/>
      <sheetName val="ANIMATION_COST_FORECAST"/>
      <sheetName val="EXTERNAL_ANIMATION"/>
      <sheetName val="PriceList"/>
      <sheetName val="CTIPricing"/>
      <sheetName val="Input"/>
      <sheetName val="PlatformList"/>
      <sheetName val="EXTERNA_x005f_x0000__x005f_x0000_ANIMATION"/>
      <sheetName val="Iss Jrn"/>
      <sheetName val="Table_5"/>
      <sheetName val="General_Info"/>
      <sheetName val="2003_ACT_CFlow"/>
      <sheetName val="2003_BGT_C_Flow"/>
      <sheetName val="HO_Use"/>
      <sheetName val="Engineering_Workload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2D_REPNew2_4"/>
      <sheetName val="EXTERNA_x005f_x005f_x005f_x0000__x005f_x005f_x000"/>
      <sheetName val="EXTERNA__ANIMATION"/>
      <sheetName val="Perhitungan"/>
      <sheetName val="Asumsi"/>
      <sheetName val="2002"/>
      <sheetName val="bantenJBTBK"/>
      <sheetName val="Bekasi"/>
      <sheetName val="tanggerang"/>
      <sheetName val="sukabumi"/>
      <sheetName val="cianjur"/>
      <sheetName val="cilegon"/>
      <sheetName val="serang"/>
      <sheetName val="98"/>
      <sheetName val="BogorF"/>
      <sheetName val="trendJKT"/>
      <sheetName val="Bogor"/>
      <sheetName val="pandeglang"/>
      <sheetName val="lebak"/>
      <sheetName val="99"/>
      <sheetName val="00"/>
      <sheetName val="hiden"/>
      <sheetName val="Income Statement"/>
      <sheetName val="Calcs"/>
      <sheetName val="Adj"/>
      <sheetName val="EXTERNAANIMATION"/>
      <sheetName val="EXRA"/>
      <sheetName val="EXTERNA"/>
      <sheetName val="Monthly"/>
      <sheetName val="NB UNIT3"/>
      <sheetName val="List Pilihan"/>
      <sheetName val="A"/>
      <sheetName val="FAKTOR"/>
      <sheetName val="gvl"/>
      <sheetName val="summary"/>
      <sheetName val="Tables"/>
      <sheetName val="CRITERIA2"/>
      <sheetName val="Keragaan"/>
      <sheetName val="CA"/>
      <sheetName val="Penyusutan Kendaraan"/>
      <sheetName val="SLS-TGT-FEED (FDM)"/>
      <sheetName val="TB"/>
      <sheetName val="C O A"/>
      <sheetName val="WS"/>
      <sheetName val="List of related party"/>
      <sheetName val="TABEL"/>
      <sheetName val="Altman Z Score"/>
      <sheetName val="Coll Bulan ini"/>
      <sheetName val="Coll Bulan lalu"/>
      <sheetName val="Renc Bulan ini"/>
      <sheetName val="Renc Bulan Lalu"/>
      <sheetName val="Okt"/>
      <sheetName val="Instructions"/>
      <sheetName val="BBM-03"/>
      <sheetName val="①　BP vs SPR (TTL Impact)"/>
      <sheetName val="PERSONAL"/>
      <sheetName val="absen kebun 28"/>
      <sheetName val="absen panen 28"/>
      <sheetName val="UPAH 28"/>
      <sheetName val="17"/>
      <sheetName val="C13"/>
      <sheetName val="CDYW"/>
      <sheetName val="Exch.rate"/>
      <sheetName val="rab.33.2011.krt"/>
      <sheetName val="Ex_Rate"/>
      <sheetName val="RADIO CONTROLS"/>
      <sheetName val="KPI-Data Source"/>
      <sheetName val="ocean voyage"/>
      <sheetName val="Fixset"/>
      <sheetName val="U-EK"/>
      <sheetName val="upah_borong"/>
      <sheetName val="harsat"/>
      <sheetName val="satuan_pek"/>
      <sheetName val="MENU"/>
      <sheetName val="A u g"/>
      <sheetName val="lembar_kerja"/>
      <sheetName val="bez_karPim"/>
      <sheetName val="bez_karpel"/>
      <sheetName val="pihak iii"/>
      <sheetName val="FF-3"/>
      <sheetName val="alokasi"/>
      <sheetName val="O4_CA"/>
      <sheetName val="atp"/>
      <sheetName val="prom"/>
      <sheetName val="nm kbn"/>
      <sheetName val="tu"/>
      <sheetName val="EXTERNA_x005f_x005f_x005f_x005f_x005f_x005f_x0000"/>
      <sheetName val="EXTERNA_x005f_x005f_x005f_x005f_x005f_x005f_x005f"/>
      <sheetName val="EXTERNA_x005f_x005f_x005f_x0000__x000"/>
      <sheetName val="EXTERNA_x005f_x005f_x005f_x005f_x0000"/>
      <sheetName val="EXTERNA_x005f_x005f_x005f_x005f_x005f"/>
      <sheetName val="TBM KR 2006"/>
      <sheetName val="almanak &amp;hk."/>
      <sheetName val="HP99"/>
      <sheetName val="ADD"/>
      <sheetName val="rab_33"/>
      <sheetName val="EXTERNA_x005f_x0000__x000"/>
      <sheetName val="EXTERNA_x005f_x005f_x0000"/>
      <sheetName val="EXTERNA_x005f_x005f_x005f"/>
      <sheetName val="pintar"/>
      <sheetName val="K4. F&amp;F"/>
      <sheetName val="SOAL42"/>
      <sheetName val="EXTERNA_x0000__x000"/>
      <sheetName val="EXTERNA_x0000"/>
      <sheetName val="EXTERNA_x005f"/>
      <sheetName val="CA-O7"/>
      <sheetName val="fm13(Giro)"/>
      <sheetName val="kepmenaker150"/>
      <sheetName val="1106-M&amp;E"/>
      <sheetName val="SW1"/>
      <sheetName val="gl"/>
      <sheetName val="C1 NOV"/>
      <sheetName val="N1"/>
      <sheetName val="Main"/>
      <sheetName val="FF-21(a)"/>
      <sheetName val="angs griya"/>
      <sheetName val="neraca"/>
      <sheetName val="Draft Neraca"/>
      <sheetName val="MAPP"/>
      <sheetName val="rek det 1-3"/>
      <sheetName val="HARGA SATUAN"/>
      <sheetName val="KEUANGAN"/>
      <sheetName val="Call"/>
      <sheetName val="pak-03"/>
      <sheetName val="Alat"/>
      <sheetName val="Persiapan"/>
      <sheetName val="Lain2"/>
      <sheetName val="Tabel2"/>
      <sheetName val="ANALISA"/>
      <sheetName val="PPN-M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KPVC-BD "/>
      <sheetName val="VCV-BE-TONG"/>
      <sheetName val="TNHCHINH"/>
      <sheetName val="hrg"/>
      <sheetName val="pro ra op"/>
      <sheetName val="grafik"/>
      <sheetName val="Program Triwulanan-04"/>
      <sheetName val="data berat"/>
      <sheetName val="3 - Balance Sheet"/>
      <sheetName val="5 - Cash Flow"/>
      <sheetName val="Data Parameter"/>
      <sheetName val="SC Pusat BB301"/>
      <sheetName val="SC Pusat BB303"/>
      <sheetName val="Cucian"/>
      <sheetName val="SC Pusat krd"/>
      <sheetName val="R"/>
      <sheetName val="DPPN"/>
      <sheetName val="4 - Income Statement"/>
      <sheetName val="NT"/>
      <sheetName val="TB-Detail-IDR"/>
      <sheetName val="Analisa Harga Satuan"/>
      <sheetName val="Tanah 09"/>
      <sheetName val="Ass_Planting"/>
      <sheetName val="Inputs"/>
      <sheetName val="rekap pph 23"/>
      <sheetName val="21 &amp; 25"/>
      <sheetName val="PPN"/>
      <sheetName val="단가"/>
      <sheetName val="Chart Of Acc"/>
      <sheetName val="Ring"/>
      <sheetName val="Eksisting Penarikan"/>
      <sheetName val="DAT_1"/>
      <sheetName val="3"/>
      <sheetName val="MGR_12"/>
      <sheetName val="Daftar Harga"/>
      <sheetName val="Rinci-Biaya"/>
      <sheetName val="Rinci-Pendapatan"/>
      <sheetName val="rab_50"/>
      <sheetName val="Cash-print"/>
      <sheetName val="Tanaman"/>
      <sheetName val="MD13"/>
      <sheetName val="DATA"/>
      <sheetName val="Sheet8"/>
      <sheetName val="GAOL_SMK"/>
      <sheetName val="Sheet6"/>
      <sheetName val="Lamp 2 "/>
      <sheetName val="lm7-11"/>
      <sheetName val="Permanent info"/>
      <sheetName val="JUAL"/>
      <sheetName val="A-HC"/>
      <sheetName val="PPH1298S"/>
      <sheetName val="RL"/>
      <sheetName val="laru-kbn"/>
      <sheetName val="TK1"/>
      <sheetName val="CONFIG2"/>
      <sheetName val="Coy"/>
      <sheetName val="KH-Q1,Q2,01"/>
      <sheetName val="Sumda1"/>
      <sheetName val="Volume"/>
      <sheetName val="villa"/>
      <sheetName val="JSiar"/>
      <sheetName val="TOWN"/>
      <sheetName val="H.Satuan"/>
      <sheetName val="s5"/>
      <sheetName val="alamat"/>
      <sheetName val="RAP"/>
      <sheetName val="MarkUp"/>
      <sheetName val="5614.a Factory Machinery"/>
      <sheetName val="5614.b Diesel "/>
      <sheetName val="5614.c Factory Equipment"/>
      <sheetName val="5614.C Coal Boiler"/>
      <sheetName val="ACHV_JAN_FEB_MAR_APR"/>
      <sheetName val="COVER"/>
      <sheetName val="Access"/>
      <sheetName val="TB_BLSHT"/>
      <sheetName val="TBCons KMB04"/>
      <sheetName val="bpp"/>
      <sheetName val="Sheet7"/>
      <sheetName val="Outil"/>
      <sheetName val="Coef Calculation"/>
      <sheetName val="Kontensalden"/>
      <sheetName val="PEG"/>
      <sheetName val="Pipe"/>
      <sheetName val="RATE"/>
      <sheetName val="GeneralInfo"/>
      <sheetName val="List"/>
      <sheetName val="original"/>
      <sheetName val="BA Rekon ARDWS-APTSEL (IDR)"/>
      <sheetName val="BA Rekon RevDWS-ExpTSEL (IDR)"/>
      <sheetName val="BA Rekon ARAP (USD)"/>
      <sheetName val="BA Rekon RevExp (USD)"/>
      <sheetName val="BA Rekon RevDWS-ExpTSEL (SLI)"/>
      <sheetName val="Memo"/>
      <sheetName val="Jurnal Memo (USD)"/>
      <sheetName val="Ex-Rate"/>
      <sheetName val="logopt"/>
      <sheetName val="FISIK RAB 2000"/>
      <sheetName val="Satuan Harga Bahan"/>
      <sheetName val="Satuan Harga Upah"/>
      <sheetName val="Material SAP"/>
      <sheetName val="Salary"/>
      <sheetName val="Master File"/>
      <sheetName val="Master Data"/>
      <sheetName val="Pivot-HK"/>
      <sheetName val="Assump"/>
      <sheetName val="BUDGET_1999"/>
      <sheetName val="Disposals"/>
      <sheetName val="KASUS8"/>
      <sheetName val="ABG-BUDGET"/>
      <sheetName val="BMV-BUDGET"/>
      <sheetName val="CLN-BUDGET"/>
      <sheetName val="COL-BUDGET"/>
      <sheetName val="CORP-BUDGET"/>
      <sheetName val="LVL-BUDGET"/>
      <sheetName val="PON-BUDGET"/>
      <sheetName val="BUDGET"/>
      <sheetName val="SALES-BUDGET"/>
      <sheetName val="SEN-BUDGET"/>
      <sheetName val="SUF-BUDGET"/>
      <sheetName val="Based Data_wacc"/>
      <sheetName val="재료비"/>
      <sheetName val="Data Sheet "/>
      <sheetName val="Accounts"/>
      <sheetName val="CRITERIA1"/>
      <sheetName val="KOCAB"/>
      <sheetName val="KRN"/>
      <sheetName val="inti"/>
      <sheetName val="by.sendiri"/>
      <sheetName val="plasma"/>
      <sheetName val="bezeting."/>
      <sheetName val="TOP"/>
      <sheetName val="bs09"/>
      <sheetName val="bs10"/>
      <sheetName val="fiscal"/>
      <sheetName val="OTHER PREPAID EXPENSE"/>
      <sheetName val="①　BP_vs_SPR_(TTL_Impact)"/>
      <sheetName val="pro_ra_op"/>
      <sheetName val="9"/>
      <sheetName val="14"/>
      <sheetName val="15"/>
      <sheetName val="D"/>
      <sheetName val="7"/>
      <sheetName val="B"/>
      <sheetName val="SKCD DATA GP YK"/>
      <sheetName val="NPWP DEBITUR"/>
      <sheetName val="rab.3.krt"/>
      <sheetName val="rab.4.krt"/>
      <sheetName val="rab.4.swt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Du_lieu"/>
      <sheetName val="CF-hot"/>
      <sheetName val="Material"/>
      <sheetName val="Bal 1997-1998"/>
      <sheetName val="REKAP OMZET KAPAL"/>
      <sheetName val="BS-RTI"/>
      <sheetName val="RMS FUNGSIONAL"/>
      <sheetName val="RMS - STR (2)"/>
      <sheetName val="SEN_FUNG"/>
      <sheetName val="p.mgmt"/>
      <sheetName val="1"/>
      <sheetName val="nc-0698"/>
      <sheetName val="tabel rimba"/>
      <sheetName val="RO344 TOTAL"/>
      <sheetName val="KBB-CIB BANK"/>
      <sheetName val="data arus kas"/>
      <sheetName val="SDAYA"/>
      <sheetName val="EXECp2"/>
      <sheetName val="RESOURCE MODEL"/>
      <sheetName val="Branch"/>
      <sheetName val="Jenis"/>
      <sheetName val="Summary UM"/>
      <sheetName val="eka"/>
      <sheetName val="Variabel"/>
      <sheetName val="General"/>
      <sheetName val="Benefit Design"/>
      <sheetName val="Experience Rating"/>
      <sheetName val="Table"/>
      <sheetName val="Member"/>
      <sheetName val="Insem"/>
      <sheetName val="Sheet3"/>
      <sheetName val="HRPar"/>
      <sheetName val="HIT"/>
      <sheetName val="database"/>
      <sheetName val="AD&amp;D"/>
      <sheetName val="Formula-KM"/>
      <sheetName val="Formula-LH"/>
      <sheetName val="Formula-RG"/>
      <sheetName val="Formula-RI"/>
      <sheetName val="Formula-RJ"/>
      <sheetName val="Options"/>
      <sheetName val="Hidden!"/>
      <sheetName val="Marketer"/>
      <sheetName val="H_Satuan"/>
      <sheetName val="EXTERNA_x000"/>
      <sheetName val="Subs"/>
      <sheetName val="ARPU"/>
      <sheetName val="Reload"/>
      <sheetName val="Price"/>
      <sheetName val="Revenue"/>
      <sheetName val="Traffic"/>
      <sheetName val="Status"/>
      <sheetName val="cilandak payroll"/>
      <sheetName val="PBC S2003"/>
      <sheetName val="Actuals &amp; Prior Yr. Figures"/>
      <sheetName val="Annual Budget Figures"/>
      <sheetName val="MainMenu"/>
      <sheetName val="Financial Reports"/>
      <sheetName val="Cost Analysis"/>
      <sheetName val="jan04"/>
      <sheetName val="1105-B&amp;I-OK"/>
      <sheetName val="STN2006"/>
      <sheetName val="Faktor Pembatas Luas Areal"/>
      <sheetName val="MATERIALFINAL"/>
      <sheetName val="Tickmarks"/>
      <sheetName val="L_23"/>
      <sheetName val="XREF"/>
      <sheetName val="Facilities"/>
      <sheetName val="Fact Truck"/>
      <sheetName val="Coal Boiler"/>
      <sheetName val="Template "/>
      <sheetName val="I-KAMAR"/>
      <sheetName val="April"/>
      <sheetName val="Februari"/>
      <sheetName val="Januari"/>
      <sheetName val="Juni"/>
      <sheetName val="Maret"/>
      <sheetName val="Mei"/>
      <sheetName val="Desplegable"/>
      <sheetName val="PRODUCTION_REPORTS1"/>
      <sheetName val="ANIMATION_ONLY1"/>
      <sheetName val="ANIMATION_COST_FORECAST1"/>
      <sheetName val="EXTERNAL_ANIMATION1"/>
      <sheetName val="Project Code 관리"/>
      <sheetName val="Function"/>
      <sheetName val="목록데이터"/>
      <sheetName val="PRODUCTION_REPORTS2"/>
      <sheetName val="ANIMATION_ONLY2"/>
      <sheetName val="ANIMATION_COST_FORECAST2"/>
      <sheetName val="EXTERNAL_ANIMATION2"/>
      <sheetName val="List as of October"/>
      <sheetName val="PFA"/>
      <sheetName val="R_Category"/>
      <sheetName val="R_Controls"/>
      <sheetName val="R.Category"/>
      <sheetName val="자금세탁 사례관리"/>
      <sheetName val="전체 리스트"/>
      <sheetName val="1)일반상품"/>
      <sheetName val="Forecast"/>
      <sheetName val="Minutes"/>
      <sheetName val="dropdown"/>
      <sheetName val="tgp_02"/>
      <sheetName val="CF(3)"/>
      <sheetName val="Sensitivitas(16)"/>
      <sheetName val="Calc"/>
      <sheetName val="ProductionTarget50Pct"/>
      <sheetName val="CAPEX"/>
      <sheetName val="Operations"/>
      <sheetName val="Scenarios and Sensitivities"/>
      <sheetName val="Financials"/>
      <sheetName val="Global Assumptions"/>
      <sheetName val="Power &amp; Fuel(SMS)"/>
      <sheetName val="Power &amp; Fuel(new)"/>
      <sheetName val="Power &amp; Fuel (S)"/>
      <sheetName val="Power &amp; Fuel(c)"/>
      <sheetName val="THREE VARIABLES"/>
      <sheetName val="synthgraph"/>
      <sheetName val="KOR"/>
      <sheetName val="Acuan"/>
      <sheetName val="BS-WORK"/>
      <sheetName val="Doc Type Ref"/>
      <sheetName val="List as of Dec16"/>
      <sheetName val="Marshal"/>
      <sheetName val="CF_Pmt creditor"/>
      <sheetName val="Seb KPI's"/>
      <sheetName val="P&amp;L Detail SARold"/>
      <sheetName val="Kode BKU"/>
      <sheetName val="FF-6"/>
      <sheetName val="AU 31 Komputer"/>
      <sheetName val="rab.8(over.swt)"/>
      <sheetName val="rab.8.2(swt)"/>
      <sheetName val="STKBB"/>
      <sheetName val="CIPARAY"/>
      <sheetName val="RANCAEKEK"/>
      <sheetName val="Drop-Down"/>
      <sheetName val="INDIRECT DETAIL"/>
      <sheetName val="FA-0800"/>
      <sheetName val="1997"/>
      <sheetName val="50-53-54-55"/>
      <sheetName val="AGUS-09"/>
      <sheetName val="Sheet5"/>
      <sheetName val="lp.kmmda"/>
      <sheetName val="karet RKAP"/>
      <sheetName val="rumus"/>
      <sheetName val="Askolin"/>
      <sheetName val="bez.karpel"/>
      <sheetName val="lembar kerja"/>
      <sheetName val="CA Sheet"/>
      <sheetName val="COA"/>
      <sheetName val="SETUP"/>
      <sheetName val="ADJ AUG12,2010"/>
      <sheetName val="AP Trade"/>
      <sheetName val="AUG02"/>
      <sheetName val="0220"/>
      <sheetName val="LP-IDR"/>
      <sheetName val="OTP-BU"/>
      <sheetName val="LK-Box"/>
      <sheetName val="LARL-3"/>
      <sheetName val="Data YTD"/>
      <sheetName val="LARL-4 (TW)"/>
      <sheetName val="Cost-Centre"/>
      <sheetName val="MNR"/>
      <sheetName val="Account Codes "/>
      <sheetName val="POV"/>
      <sheetName val="Index"/>
      <sheetName val="Base Data"/>
      <sheetName val="Sheet4"/>
      <sheetName val="BGT Cashflow"/>
      <sheetName val="PARAMETERS"/>
      <sheetName val="Legend"/>
      <sheetName val="General_Info1"/>
      <sheetName val="2003_ACT_CFlow1"/>
      <sheetName val="2003_BGT_C_Flow1"/>
      <sheetName val="HO_Use1"/>
      <sheetName val="Engineering_Workload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Table_51"/>
      <sheetName val="Income_Statement"/>
      <sheetName val="NB_UNIT3"/>
      <sheetName val="List_Pilihan"/>
      <sheetName val="2D_REPNew2_41"/>
      <sheetName val="Altman_Z_Score"/>
      <sheetName val="Iss_Jrn"/>
      <sheetName val="Coll_Bulan_ini"/>
      <sheetName val="Coll_Bulan_lalu"/>
      <sheetName val="Renc_Bulan_ini"/>
      <sheetName val="Renc_Bulan_Lalu"/>
      <sheetName val="Stock_Report"/>
      <sheetName val="lookup_table"/>
      <sheetName val="SCH_3"/>
      <sheetName val="TBCons_KMB04"/>
      <sheetName val="Penyusutan_Kendaraan"/>
      <sheetName val="absen_kebun_28"/>
      <sheetName val="absen_panen_28"/>
      <sheetName val="UPAH_28"/>
      <sheetName val="Coef_Calculation"/>
      <sheetName val="Exch_rate"/>
      <sheetName val="rab_33_2011_krt"/>
      <sheetName val="RADIO_CONTROLS"/>
      <sheetName val="KPI-Data_Source"/>
      <sheetName val="ocean_voyage"/>
      <sheetName val="Eksisting_Penarikan"/>
      <sheetName val="Daftar_Harga"/>
      <sheetName val="C_O_A"/>
      <sheetName val="rekap_pph_23"/>
      <sheetName val="21_&amp;_25"/>
      <sheetName val="Permanent_info"/>
      <sheetName val="FISIK_RAB_2000"/>
      <sheetName val="Satuan_Harga_Bahan"/>
      <sheetName val="Satuan_Harga_Upah"/>
      <sheetName val="Material_SAP"/>
      <sheetName val="Master_File"/>
      <sheetName val="Master_Data"/>
      <sheetName val="SLS-TGT-FEED_(FDM)"/>
      <sheetName val="BA_Rekon_ARDWS-APTSEL_(IDR)"/>
      <sheetName val="BA_Rekon_RevDWS-ExpTSEL_(IDR)"/>
      <sheetName val="BA_Rekon_ARAP_(USD)"/>
      <sheetName val="BA_Rekon_RevExp_(USD)"/>
      <sheetName val="BA_Rekon_RevDWS-ExpTSEL_(SLI)"/>
      <sheetName val="Jurnal_Memo_(USD)"/>
      <sheetName val="List_of_related_party"/>
      <sheetName val="OTHER_PREPAID_EXPENSE"/>
      <sheetName val="cilandak_payroll"/>
      <sheetName val="PBC_S2003"/>
      <sheetName val="TRADING PROFIT"/>
      <sheetName val="Q302"/>
      <sheetName val="9211 Summary of CAJE"/>
      <sheetName val="9212 Summary of AJE"/>
      <sheetName val="9213 Summary of RJE"/>
      <sheetName val="DAF.INVEN U.O"/>
      <sheetName val="NAMES"/>
      <sheetName val="puspel_proyk"/>
      <sheetName val="budget 2018"/>
      <sheetName val="Lead"/>
      <sheetName val="tgp-02"/>
      <sheetName val="fr BS"/>
      <sheetName val="CFLOW"/>
      <sheetName val="A.02-I"/>
      <sheetName val="CF-1"/>
      <sheetName val="MIFA Description"/>
      <sheetName val="Active GL"/>
      <sheetName val="Div_Prjct"/>
      <sheetName val="Puspel"/>
      <sheetName val="POTO MAC"/>
      <sheetName val="Lookup"/>
      <sheetName val="Currency Spot Rates"/>
      <sheetName val="TARGET FINAL"/>
      <sheetName val="TO"/>
      <sheetName val="KAMUS"/>
      <sheetName val="NONCAB"/>
      <sheetName val="LN"/>
      <sheetName val="DKI"/>
      <sheetName val="GABUNGAN"/>
      <sheetName val="LRK"/>
      <sheetName val="KURS"/>
      <sheetName val="TE"/>
      <sheetName val="CH"/>
      <sheetName val="12"/>
      <sheetName val="Bangunan Utama B"/>
      <sheetName val="FIELDCALC"/>
      <sheetName val="B2003_LES"/>
      <sheetName val="VLOOKUP"/>
      <sheetName val="Center"/>
      <sheetName val="Company"/>
      <sheetName val="License"/>
      <sheetName val="Account"/>
      <sheetName val="EXTERNA_x005f_x0000__x005f_x005f_x000"/>
      <sheetName val="note"/>
      <sheetName val="1.Rollfwd"/>
      <sheetName val="5313 Test Allowance (aging)"/>
      <sheetName val="Pain data"/>
      <sheetName val="JADI"/>
      <sheetName val="Asumption Board"/>
      <sheetName val="combined"/>
      <sheetName val="Daily Report"/>
      <sheetName val="ACT HAUL"/>
      <sheetName val="HAUL C1,C2,C3"/>
      <sheetName val="DB MP"/>
      <sheetName val="DB_MP"/>
      <sheetName val="BP1_23"/>
      <sheetName val="Deferred Revenue Nov 04"/>
      <sheetName val="TAX COM"/>
      <sheetName val="Noodles (assumptions)"/>
      <sheetName val="GL_Account"/>
      <sheetName val="chemcal"/>
      <sheetName val="Accrued RO"/>
      <sheetName val="DSR"/>
      <sheetName val="XRATE"/>
      <sheetName val="MARKSUMM"/>
      <sheetName val="Sales"/>
      <sheetName val="SEC Income Statement"/>
      <sheetName val="UNPAID"/>
      <sheetName val="HARVEST02"/>
      <sheetName val="Operation 01-0207"/>
      <sheetName val="F-BSPL"/>
      <sheetName val="Nrj Ljr"/>
      <sheetName val="AR_Actual"/>
      <sheetName val="AR_Budget"/>
      <sheetName val="RRP"/>
      <sheetName val="Scoping"/>
      <sheetName val="PF-OFFICE"/>
      <sheetName val="Indirects MBR"/>
      <sheetName val="OLAH"/>
      <sheetName val="Excess Calc"/>
      <sheetName val="Wages"/>
      <sheetName val="Form 4"/>
      <sheetName val="YTD_02"/>
      <sheetName val="Kend"/>
      <sheetName val="Exc. Rate"/>
      <sheetName val="Monomers"/>
      <sheetName val="Jurnal"/>
      <sheetName val="lkupref"/>
      <sheetName val="Syracuse0"/>
      <sheetName val="USDt_FS(4)"/>
      <sheetName val="capex_incl_rp"/>
      <sheetName val="Oracle"/>
      <sheetName val="Organization Chart"/>
      <sheetName val="Bahan+Upah"/>
      <sheetName val="name"/>
      <sheetName val="PC Account"/>
      <sheetName val="Table_52"/>
      <sheetName val="General_Info2"/>
      <sheetName val="2003_ACT_CFlow2"/>
      <sheetName val="2003_BGT_C_Flow2"/>
      <sheetName val="HO_Use2"/>
      <sheetName val="Engineering_Workload2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2D_REPNew2_42"/>
      <sheetName val="Iss_Jrn1"/>
      <sheetName val="Income_Statement1"/>
      <sheetName val="NB_UNIT31"/>
      <sheetName val="List_Pilihan1"/>
      <sheetName val="Coll_Bulan_ini1"/>
      <sheetName val="Coll_Bulan_lalu1"/>
      <sheetName val="Renc_Bulan_ini1"/>
      <sheetName val="Renc_Bulan_Lalu1"/>
      <sheetName val="Stock_Report1"/>
      <sheetName val="lookup_table1"/>
      <sheetName val="SCH_31"/>
      <sheetName val="PRODUCTION_REPORTS3"/>
      <sheetName val="ANIMATION_ONLY3"/>
      <sheetName val="ANIMATION_COST_FORECAST3"/>
      <sheetName val="EXTERNAL_ANIMATION3"/>
      <sheetName val="Table_53"/>
      <sheetName val="General_Info3"/>
      <sheetName val="2003_ACT_CFlow3"/>
      <sheetName val="2003_BGT_C_Flow3"/>
      <sheetName val="HO_Use3"/>
      <sheetName val="Engineering_Workload3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2D_REPNew2_43"/>
      <sheetName val="Iss_Jrn2"/>
      <sheetName val="Income_Statement2"/>
      <sheetName val="NB_UNIT32"/>
      <sheetName val="List_Pilihan2"/>
      <sheetName val="Coll_Bulan_ini2"/>
      <sheetName val="Coll_Bulan_lalu2"/>
      <sheetName val="Renc_Bulan_ini2"/>
      <sheetName val="Renc_Bulan_Lalu2"/>
      <sheetName val="Stock_Report2"/>
      <sheetName val="lookup_table2"/>
      <sheetName val="SCH_32"/>
      <sheetName val="PRODUCTION_REPORTS4"/>
      <sheetName val="ANIMATION_ONLY4"/>
      <sheetName val="ANIMATION_COST_FORECAST4"/>
      <sheetName val="EXTERNAL_ANIMATION4"/>
      <sheetName val="Table_54"/>
      <sheetName val="General_Info4"/>
      <sheetName val="2003_ACT_CFlow4"/>
      <sheetName val="2003_BGT_C_Flow4"/>
      <sheetName val="HO_Use4"/>
      <sheetName val="Engineering_Workload4"/>
      <sheetName val="KONS_BID_P&amp;N4"/>
      <sheetName val="UP_II_DUMAI4"/>
      <sheetName val="KP_DIT_HULU4"/>
      <sheetName val="UP_VI_BALONGAN4"/>
      <sheetName val="UP_1_BRANDAN4"/>
      <sheetName val="UP_V_BALIKPAPAN4"/>
      <sheetName val="DIT_HILIR4"/>
      <sheetName val="UP_IV_CILACAP4"/>
      <sheetName val="UP_III_PLAJU4"/>
      <sheetName val="KONS_DIT_HULU4"/>
      <sheetName val="KR_AMPEL4"/>
      <sheetName val="UP_VII_KASIM4"/>
      <sheetName val="KONS_BID_P4"/>
      <sheetName val="2D_REPNew2_44"/>
      <sheetName val="Iss_Jrn3"/>
      <sheetName val="Income_Statement3"/>
      <sheetName val="NB_UNIT33"/>
      <sheetName val="List_Pilihan3"/>
      <sheetName val="Coll_Bulan_ini3"/>
      <sheetName val="Coll_Bulan_lalu3"/>
      <sheetName val="Renc_Bulan_ini3"/>
      <sheetName val="Renc_Bulan_Lalu3"/>
      <sheetName val="Stock_Report3"/>
      <sheetName val="lookup_table3"/>
      <sheetName val="SCH_33"/>
      <sheetName val="PRODUCTION_REPORTS5"/>
      <sheetName val="ANIMATION_ONLY5"/>
      <sheetName val="ANIMATION_COST_FORECAST5"/>
      <sheetName val="EXTERNAL_ANIMATION5"/>
      <sheetName val="Table_55"/>
      <sheetName val="General_Info5"/>
      <sheetName val="2003_ACT_CFlow5"/>
      <sheetName val="2003_BGT_C_Flow5"/>
      <sheetName val="HO_Use5"/>
      <sheetName val="Engineering_Workload5"/>
      <sheetName val="KONS_BID_P&amp;N5"/>
      <sheetName val="UP_II_DUMAI5"/>
      <sheetName val="KP_DIT_HULU5"/>
      <sheetName val="UP_VI_BALONGAN5"/>
      <sheetName val="UP_1_BRANDAN5"/>
      <sheetName val="UP_V_BALIKPAPAN5"/>
      <sheetName val="DIT_HILIR5"/>
      <sheetName val="UP_IV_CILACAP5"/>
      <sheetName val="UP_III_PLAJU5"/>
      <sheetName val="KONS_DIT_HULU5"/>
      <sheetName val="KR_AMPEL5"/>
      <sheetName val="UP_VII_KASIM5"/>
      <sheetName val="KONS_BID_P5"/>
      <sheetName val="2D_REPNew2_45"/>
      <sheetName val="Iss_Jrn4"/>
      <sheetName val="Income_Statement4"/>
      <sheetName val="NB_UNIT34"/>
      <sheetName val="List_Pilihan4"/>
      <sheetName val="Coll_Bulan_ini4"/>
      <sheetName val="Coll_Bulan_lalu4"/>
      <sheetName val="Renc_Bulan_ini4"/>
      <sheetName val="Renc_Bulan_Lalu4"/>
      <sheetName val="Stock_Report4"/>
      <sheetName val="lookup_table4"/>
      <sheetName val="SCH_34"/>
      <sheetName val="Data23"/>
      <sheetName val="Data26"/>
      <sheetName val="VD"/>
      <sheetName val="Sales Parameter"/>
      <sheetName val="Parameter"/>
      <sheetName val="PRO_COAL"/>
      <sheetName val="Data Opr"/>
      <sheetName val="Compensation Data Worksheet"/>
      <sheetName val="Data Opr (2)"/>
      <sheetName val="Sales_Parameter"/>
      <sheetName val="Data_Opr"/>
      <sheetName val="Compensation_Data_Worksheet"/>
      <sheetName val="Data_Opr_(2)"/>
      <sheetName val="PAR"/>
      <sheetName val="DB_MP1"/>
      <sheetName val="Sales_Parameter1"/>
      <sheetName val="absen_kebun_281"/>
      <sheetName val="absen_panen_281"/>
      <sheetName val="UPAH_281"/>
      <sheetName val="ocean_voyage1"/>
      <sheetName val="Compensation_Data_Worksheet1"/>
      <sheetName val="Data_Opr1"/>
      <sheetName val="Data_Opr_(2)1"/>
      <sheetName val="TANDA TERIMA"/>
      <sheetName val="Rekening"/>
      <sheetName val="Big"/>
      <sheetName val="Coal_Mining"/>
      <sheetName val="Htr"/>
      <sheetName val="KPC Coal"/>
      <sheetName val="KPC_Total"/>
      <sheetName val="MS"/>
      <sheetName val="DB_MP2"/>
      <sheetName val="Sales_Parameter2"/>
      <sheetName val="absen_kebun_282"/>
      <sheetName val="absen_panen_282"/>
      <sheetName val="UPAH_282"/>
      <sheetName val="ocean_voyage2"/>
      <sheetName val="Compensation_Data_Worksheet2"/>
      <sheetName val="Data_Opr2"/>
      <sheetName val="Data_Opr_(2)2"/>
      <sheetName val="TANDA_TERIMA"/>
      <sheetName val="KPC_Coal"/>
      <sheetName val="DB_MP3"/>
      <sheetName val="Sales_Parameter3"/>
      <sheetName val="absen_kebun_283"/>
      <sheetName val="absen_panen_283"/>
      <sheetName val="UPAH_283"/>
      <sheetName val="ocean_voyage3"/>
      <sheetName val="Data_Opr3"/>
      <sheetName val="Compensation_Data_Worksheet3"/>
      <sheetName val="Data_Opr_(2)3"/>
      <sheetName val="TANDA_TERIMA1"/>
      <sheetName val="KPC_Coal1"/>
      <sheetName val="DB_MP4"/>
      <sheetName val="Sales_Parameter4"/>
      <sheetName val="absen_kebun_284"/>
      <sheetName val="absen_panen_284"/>
      <sheetName val="UPAH_284"/>
      <sheetName val="ocean_voyage4"/>
      <sheetName val="Data_Opr4"/>
      <sheetName val="Compensation_Data_Worksheet4"/>
      <sheetName val="Data_Opr_(2)4"/>
      <sheetName val="TANDA_TERIMA2"/>
      <sheetName val="KPC_Coal2"/>
      <sheetName val="PRODUCTION_REPORTS6"/>
      <sheetName val="ANIMATION_ONLY6"/>
      <sheetName val="ANIMATION_COST_FORECAST6"/>
      <sheetName val="EXTERNAL_ANIMATION6"/>
      <sheetName val="DB_MP5"/>
      <sheetName val="Sales_Parameter5"/>
      <sheetName val="KONS_BID_P&amp;N6"/>
      <sheetName val="UP_II_DUMAI6"/>
      <sheetName val="KP_DIT_HULU6"/>
      <sheetName val="UP_VI_BALONGAN6"/>
      <sheetName val="UP_1_BRANDAN6"/>
      <sheetName val="UP_V_BALIKPAPAN6"/>
      <sheetName val="DIT_HILIR6"/>
      <sheetName val="UP_IV_CILACAP6"/>
      <sheetName val="UP_III_PLAJU6"/>
      <sheetName val="KONS_DIT_HULU6"/>
      <sheetName val="KR_AMPEL6"/>
      <sheetName val="UP_VII_KASIM6"/>
      <sheetName val="KONS_BID_P6"/>
      <sheetName val="General_Info6"/>
      <sheetName val="2003_ACT_CFlow6"/>
      <sheetName val="2003_BGT_C_Flow6"/>
      <sheetName val="HO_Use6"/>
      <sheetName val="Engineering_Workload6"/>
      <sheetName val="absen_kebun_285"/>
      <sheetName val="absen_panen_285"/>
      <sheetName val="UPAH_285"/>
      <sheetName val="ocean_voyage5"/>
      <sheetName val="Data_Opr5"/>
      <sheetName val="Income_Statement5"/>
      <sheetName val="Compensation_Data_Worksheet5"/>
      <sheetName val="Data_Opr_(2)5"/>
      <sheetName val="TANDA_TERIMA3"/>
      <sheetName val="KPC_Coal3"/>
      <sheetName val="PRODUCTION_REPORTS7"/>
      <sheetName val="ANIMATION_ONLY7"/>
      <sheetName val="ANIMATION_COST_FORECAST7"/>
      <sheetName val="EXTERNAL_ANIMATION7"/>
      <sheetName val="DB_MP6"/>
      <sheetName val="Sales_Parameter6"/>
      <sheetName val="KONS_BID_P&amp;N7"/>
      <sheetName val="UP_II_DUMAI7"/>
      <sheetName val="KP_DIT_HULU7"/>
      <sheetName val="UP_VI_BALONGAN7"/>
      <sheetName val="UP_1_BRANDAN7"/>
      <sheetName val="UP_V_BALIKPAPAN7"/>
      <sheetName val="DIT_HILIR7"/>
      <sheetName val="UP_IV_CILACAP7"/>
      <sheetName val="UP_III_PLAJU7"/>
      <sheetName val="KONS_DIT_HULU7"/>
      <sheetName val="KR_AMPEL7"/>
      <sheetName val="UP_VII_KASIM7"/>
      <sheetName val="KONS_BID_P7"/>
      <sheetName val="General_Info7"/>
      <sheetName val="2003_ACT_CFlow7"/>
      <sheetName val="2003_BGT_C_Flow7"/>
      <sheetName val="HO_Use7"/>
      <sheetName val="Engineering_Workload7"/>
      <sheetName val="2D_REPNew2_46"/>
      <sheetName val="absen_kebun_286"/>
      <sheetName val="absen_panen_286"/>
      <sheetName val="UPAH_286"/>
      <sheetName val="ocean_voyage6"/>
      <sheetName val="Table_56"/>
      <sheetName val="Income_Statement6"/>
      <sheetName val="Compensation_Data_Worksheet6"/>
      <sheetName val="Data_Opr6"/>
      <sheetName val="Data_Opr_(2)6"/>
      <sheetName val="TANDA_TERIMA4"/>
      <sheetName val="KPC_Coal4"/>
      <sheetName val="PRODUCTION_REPORTS8"/>
      <sheetName val="ANIMATION_ONLY8"/>
      <sheetName val="ANIMATION_COST_FORECAST8"/>
      <sheetName val="EXTERNAL_ANIMATION8"/>
      <sheetName val="DB_MP7"/>
      <sheetName val="Sales_Parameter7"/>
      <sheetName val="KONS_BID_P&amp;N8"/>
      <sheetName val="UP_II_DUMAI8"/>
      <sheetName val="KP_DIT_HULU8"/>
      <sheetName val="UP_VI_BALONGAN8"/>
      <sheetName val="UP_1_BRANDAN8"/>
      <sheetName val="UP_V_BALIKPAPAN8"/>
      <sheetName val="DIT_HILIR8"/>
      <sheetName val="UP_IV_CILACAP8"/>
      <sheetName val="UP_III_PLAJU8"/>
      <sheetName val="KONS_DIT_HULU8"/>
      <sheetName val="KR_AMPEL8"/>
      <sheetName val="UP_VII_KASIM8"/>
      <sheetName val="KONS_BID_P8"/>
      <sheetName val="General_Info8"/>
      <sheetName val="2003_ACT_CFlow8"/>
      <sheetName val="2003_BGT_C_Flow8"/>
      <sheetName val="HO_Use8"/>
      <sheetName val="Engineering_Workload8"/>
      <sheetName val="2D_REPNew2_47"/>
      <sheetName val="absen_kebun_287"/>
      <sheetName val="absen_panen_287"/>
      <sheetName val="UPAH_287"/>
      <sheetName val="ocean_voyage7"/>
      <sheetName val="Table_57"/>
      <sheetName val="Income_Statement7"/>
      <sheetName val="Compensation_Data_Worksheet7"/>
      <sheetName val="Data_Opr7"/>
      <sheetName val="Data_Opr_(2)7"/>
      <sheetName val="TANDA_TERIMA5"/>
      <sheetName val="KPC_Coal5"/>
      <sheetName val="Galian 1"/>
      <sheetName val="List Unit"/>
      <sheetName val="DAY WORK"/>
      <sheetName val="BAI Calculation"/>
      <sheetName val="Cashflow"/>
      <sheetName val="PA_UA"/>
      <sheetName val="DB_CSC"/>
      <sheetName val="KBT."/>
      <sheetName val="Norma_HK"/>
      <sheetName val="TB2004"/>
      <sheetName val="PRODUCTION_REPORTS9"/>
      <sheetName val="ANIMATION_ONLY9"/>
      <sheetName val="ANIMATION_COST_FORECAST9"/>
      <sheetName val="EXTERNAL_ANIMATION9"/>
      <sheetName val="DB_MP8"/>
      <sheetName val="Sales_Parameter8"/>
      <sheetName val="KONS_BID_P&amp;N9"/>
      <sheetName val="UP_II_DUMAI9"/>
      <sheetName val="KP_DIT_HULU9"/>
      <sheetName val="UP_VI_BALONGAN9"/>
      <sheetName val="UP_1_BRANDAN9"/>
      <sheetName val="UP_V_BALIKPAPAN9"/>
      <sheetName val="DIT_HILIR9"/>
      <sheetName val="UP_IV_CILACAP9"/>
      <sheetName val="UP_III_PLAJU9"/>
      <sheetName val="KONS_DIT_HULU9"/>
      <sheetName val="KR_AMPEL9"/>
      <sheetName val="UP_VII_KASIM9"/>
      <sheetName val="KONS_BID_P9"/>
      <sheetName val="General_Info9"/>
      <sheetName val="2003_ACT_CFlow9"/>
      <sheetName val="2003_BGT_C_Flow9"/>
      <sheetName val="HO_Use9"/>
      <sheetName val="Engineering_Workload9"/>
      <sheetName val="2D_REPNew2_48"/>
      <sheetName val="absen_kebun_288"/>
      <sheetName val="absen_panen_288"/>
      <sheetName val="UPAH_288"/>
      <sheetName val="ocean_voyage8"/>
      <sheetName val="Table_58"/>
      <sheetName val="Income_Statement8"/>
      <sheetName val="Compensation_Data_Worksheet8"/>
      <sheetName val="Data_Opr8"/>
      <sheetName val="Data_Opr_(2)8"/>
      <sheetName val="TANDA_TERIMA6"/>
      <sheetName val="KPC_Coal6"/>
      <sheetName val="Galian_1"/>
      <sheetName val="List_Unit"/>
      <sheetName val="DAY_WORK"/>
      <sheetName val="BAI_Calculation"/>
      <sheetName val="OTHER_PREPAID_EXPENSE1"/>
      <sheetName val="Actuals_&amp;_Prior_Yr__Figures"/>
      <sheetName val="Annual_Budget_Figures"/>
      <sheetName val="Financial_Reports"/>
      <sheetName val="Altman_Z_Score1"/>
      <sheetName val="Penyusutan_Kendaraan1"/>
      <sheetName val="TBCons_KMB041"/>
      <sheetName val="Exch_rate1"/>
      <sheetName val="rab_33_2011_krt1"/>
      <sheetName val="RADIO_CONTROLS1"/>
      <sheetName val="KPI-Data_Source1"/>
      <sheetName val="Permanent_info1"/>
      <sheetName val="FISIK_RAB_20001"/>
      <sheetName val="Satuan_Harga_Bahan1"/>
      <sheetName val="Satuan_Harga_Upah1"/>
      <sheetName val="Material_SAP1"/>
      <sheetName val="Master_File1"/>
      <sheetName val="Master_Data1"/>
      <sheetName val="Coef_Calculation1"/>
      <sheetName val="SLS-TGT-FEED_(FDM)1"/>
      <sheetName val="C_O_A1"/>
      <sheetName val="List_of_related_party1"/>
      <sheetName val="rekap_pph_231"/>
      <sheetName val="21_&amp;_251"/>
      <sheetName val="Scenarios_and_Sensitivities"/>
      <sheetName val="Global_Assumptions"/>
      <sheetName val="①　BP_vs_SPR_(TTL_Impact)1"/>
      <sheetName val="3_-_Balance_Sheet"/>
      <sheetName val="4_-_Income_Statement"/>
      <sheetName val="5_-_Cash_Flow"/>
      <sheetName val="dongia_(2)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KPVC-BD_"/>
      <sheetName val="pro_ra_op1"/>
      <sheetName val="Program_Triwulanan-04"/>
      <sheetName val="data_berat"/>
      <sheetName val="Data_Parameter"/>
      <sheetName val="SC_Pusat_BB301"/>
      <sheetName val="SC_Pusat_BB303"/>
      <sheetName val="SC_Pusat_krd"/>
      <sheetName val="Analisa_Harga_Satuan"/>
      <sheetName val="Tanah_09"/>
      <sheetName val="A_u_g"/>
      <sheetName val="pihak_iii"/>
      <sheetName val="nm_kbn"/>
      <sheetName val="TBM_KR_2006"/>
      <sheetName val="almanak_&amp;hk_"/>
      <sheetName val="K4__F&amp;F"/>
      <sheetName val="C1_NOV"/>
      <sheetName val="angs_griya"/>
      <sheetName val="Draft_Neraca"/>
      <sheetName val="rek_det_1-3"/>
      <sheetName val="HARGA_SATUAN"/>
      <sheetName val="Chart_Of_Acc"/>
      <sheetName val="Eksisting_Penarikan1"/>
      <sheetName val="Daftar_Harga1"/>
      <sheetName val="SKCD_DATA_GP_YK"/>
      <sheetName val="RESOURCE_MODEL"/>
      <sheetName val="Summary_UM"/>
      <sheetName val="Bal_1997-1998"/>
      <sheetName val="CF_Pmt_creditor"/>
      <sheetName val="Seb_KPI's"/>
      <sheetName val="P&amp;L_Detail_SARold"/>
      <sheetName val="5614_a_Factory_Machinery"/>
      <sheetName val="5614_b_Diesel_"/>
      <sheetName val="5614_c_Factory_Equipment"/>
      <sheetName val="5614_C_Coal_Boiler"/>
      <sheetName val="BA_Rekon_ARDWS-APTSEL_(IDR)1"/>
      <sheetName val="BA_Rekon_RevDWS-ExpTSEL_(IDR)1"/>
      <sheetName val="BA_Rekon_ARAP_(USD)1"/>
      <sheetName val="BA_Rekon_RevExp_(USD)1"/>
      <sheetName val="BA_Rekon_RevDWS-ExpTSEL_(SLI)1"/>
      <sheetName val="Jurnal_Memo_(USD)1"/>
      <sheetName val="Based_Data_wacc"/>
      <sheetName val="Data_Sheet_"/>
      <sheetName val="by_sendiri"/>
      <sheetName val="bezeting_"/>
      <sheetName val="NPWP_DEBITUR"/>
      <sheetName val="rab_3_krt"/>
      <sheetName val="rab_4_krt"/>
      <sheetName val="rab_4_swt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Lamp_2_"/>
      <sheetName val="REKAP_OMZET_KAPAL"/>
      <sheetName val="KBT_"/>
      <sheetName val="cilandak_payroll1"/>
      <sheetName val="PBC_S20031"/>
      <sheetName val="RMS_FUNGSIONAL"/>
      <sheetName val="RMS_-_STR_(2)"/>
      <sheetName val="p_mgmt"/>
      <sheetName val="tabel_rimba"/>
      <sheetName val="RO344_TOTAL"/>
      <sheetName val="KBB-CIB_BANK"/>
      <sheetName val="data_arus_kas"/>
      <sheetName val="Cost_Analysis"/>
      <sheetName val="Faktor_Pembatas_Luas_Areal"/>
      <sheetName val="Fact_Truck"/>
      <sheetName val="Coal_Boiler"/>
      <sheetName val="Template_"/>
      <sheetName val="Base_Data"/>
      <sheetName val="BGT_Cashflow"/>
      <sheetName val="TRADING_PROFIT"/>
      <sheetName val="9211_Summary_of_CAJE"/>
      <sheetName val="9212_Summary_of_AJE"/>
      <sheetName val="9213_Summary_of_RJE"/>
      <sheetName val="Project_Code_관리"/>
      <sheetName val="List_as_of_October"/>
      <sheetName val="R_Category1"/>
      <sheetName val="자금세탁_사례관리"/>
      <sheetName val="전체_리스트"/>
      <sheetName val="DAF_INVEN_U_O"/>
      <sheetName val="Power_&amp;_Fuel(SMS)"/>
      <sheetName val="Power_&amp;_Fuel(new)"/>
      <sheetName val="Power_&amp;_Fuel_(S)"/>
      <sheetName val="Power_&amp;_Fuel(c)"/>
      <sheetName val="THREE_VARIABLES"/>
      <sheetName val="POTO_MAC"/>
      <sheetName val="Data_YTD"/>
      <sheetName val="LARL-4_(TW)"/>
      <sheetName val="Accrued_RO"/>
      <sheetName val="SEC_Income_Statement"/>
      <sheetName val="budget_2018"/>
      <sheetName val="DB"/>
      <sheetName val="PRODUCTION_REPORTS10"/>
      <sheetName val="ANIMATION_ONLY10"/>
      <sheetName val="ANIMATION_COST_FORECAST10"/>
      <sheetName val="EXTERNAL_ANIMATION10"/>
      <sheetName val="DB_MP9"/>
      <sheetName val="Sales_Parameter9"/>
      <sheetName val="KONS_BID_P&amp;N10"/>
      <sheetName val="UP_II_DUMAI10"/>
      <sheetName val="KP_DIT_HULU10"/>
      <sheetName val="UP_VI_BALONGAN10"/>
      <sheetName val="UP_1_BRANDAN10"/>
      <sheetName val="UP_V_BALIKPAPAN10"/>
      <sheetName val="DIT_HILIR10"/>
      <sheetName val="UP_IV_CILACAP10"/>
      <sheetName val="UP_III_PLAJU10"/>
      <sheetName val="KONS_DIT_HULU10"/>
      <sheetName val="KR_AMPEL10"/>
      <sheetName val="UP_VII_KASIM10"/>
      <sheetName val="KONS_BID_P10"/>
      <sheetName val="General_Info10"/>
      <sheetName val="2003_ACT_CFlow10"/>
      <sheetName val="2003_BGT_C_Flow10"/>
      <sheetName val="HO_Use10"/>
      <sheetName val="Engineering_Workload10"/>
      <sheetName val="2D_REPNew2_49"/>
      <sheetName val="absen_kebun_289"/>
      <sheetName val="absen_panen_289"/>
      <sheetName val="UPAH_289"/>
      <sheetName val="ocean_voyage9"/>
      <sheetName val="Data_Opr9"/>
      <sheetName val="Table_59"/>
      <sheetName val="Income_Statement9"/>
      <sheetName val="Compensation_Data_Worksheet9"/>
      <sheetName val="Data_Opr_(2)9"/>
      <sheetName val="TANDA_TERIMA7"/>
      <sheetName val="KPC_Coal7"/>
      <sheetName val="Galian_11"/>
      <sheetName val="List_Unit1"/>
      <sheetName val="DAY_WORK1"/>
      <sheetName val="BAI_Calculation1"/>
      <sheetName val="OTHER_PREPAID_EXPENSE2"/>
      <sheetName val="Actuals_&amp;_Prior_Yr__Figures1"/>
      <sheetName val="Annual_Budget_Figures1"/>
      <sheetName val="Financial_Reports1"/>
      <sheetName val="Altman_Z_Score2"/>
      <sheetName val="Penyusutan_Kendaraan2"/>
      <sheetName val="TBCons_KMB042"/>
      <sheetName val="Exch_rate2"/>
      <sheetName val="rab_33_2011_krt2"/>
      <sheetName val="RADIO_CONTROLS2"/>
      <sheetName val="KPI-Data_Source2"/>
      <sheetName val="Permanent_info2"/>
      <sheetName val="FISIK_RAB_20002"/>
      <sheetName val="Satuan_Harga_Bahan2"/>
      <sheetName val="Satuan_Harga_Upah2"/>
      <sheetName val="Material_SAP2"/>
      <sheetName val="Master_File2"/>
      <sheetName val="Master_Data2"/>
      <sheetName val="Coef_Calculation2"/>
      <sheetName val="SLS-TGT-FEED_(FDM)2"/>
      <sheetName val="C_O_A2"/>
      <sheetName val="List_of_related_party2"/>
      <sheetName val="rekap_pph_232"/>
      <sheetName val="21_&amp;_252"/>
      <sheetName val="Scenarios_and_Sensitivities1"/>
      <sheetName val="Global_Assumptions1"/>
      <sheetName val="①　BP_vs_SPR_(TTL_Impact)2"/>
      <sheetName val="3_-_Balance_Sheet1"/>
      <sheetName val="4_-_Income_Statement1"/>
      <sheetName val="5_-_Cash_Flow1"/>
      <sheetName val="dongia_(2)1"/>
      <sheetName val="DON_GIA1"/>
      <sheetName val="THPDMoi__(2)1"/>
      <sheetName val="CHITIET_VL-NC1"/>
      <sheetName val="CHITIET_VL-NC-TT_-1p1"/>
      <sheetName val="TH_XL1"/>
      <sheetName val="CHITIET_VL-NC-TT-3p1"/>
      <sheetName val="t-h_HA_THE1"/>
      <sheetName val="TONGKE3p_1"/>
      <sheetName val="KPVC-BD_1"/>
      <sheetName val="pro_ra_op2"/>
      <sheetName val="Program_Triwulanan-041"/>
      <sheetName val="data_berat1"/>
      <sheetName val="Data_Parameter1"/>
      <sheetName val="SC_Pusat_BB3011"/>
      <sheetName val="SC_Pusat_BB3031"/>
      <sheetName val="SC_Pusat_krd1"/>
      <sheetName val="Analisa_Harga_Satuan1"/>
      <sheetName val="Tanah_091"/>
      <sheetName val="A_u_g1"/>
      <sheetName val="pihak_iii1"/>
      <sheetName val="nm_kbn1"/>
      <sheetName val="TBM_KR_20061"/>
      <sheetName val="almanak_&amp;hk_1"/>
      <sheetName val="K4__F&amp;F1"/>
      <sheetName val="C1_NOV1"/>
      <sheetName val="angs_griya1"/>
      <sheetName val="Draft_Neraca1"/>
      <sheetName val="rek_det_1-31"/>
      <sheetName val="HARGA_SATUAN1"/>
      <sheetName val="Chart_Of_Acc1"/>
      <sheetName val="Eksisting_Penarikan2"/>
      <sheetName val="Daftar_Harga2"/>
      <sheetName val="SKCD_DATA_GP_YK1"/>
      <sheetName val="RESOURCE_MODEL1"/>
      <sheetName val="Summary_UM1"/>
      <sheetName val="Bal_1997-19981"/>
      <sheetName val="CF_Pmt_creditor1"/>
      <sheetName val="Seb_KPI's1"/>
      <sheetName val="P&amp;L_Detail_SARold1"/>
      <sheetName val="H_Satuan1"/>
      <sheetName val="5614_a_Factory_Machinery1"/>
      <sheetName val="5614_b_Diesel_1"/>
      <sheetName val="5614_c_Factory_Equipment1"/>
      <sheetName val="5614_C_Coal_Boiler1"/>
      <sheetName val="BA_Rekon_ARDWS-APTSEL_(IDR)2"/>
      <sheetName val="BA_Rekon_RevDWS-ExpTSEL_(IDR)2"/>
      <sheetName val="BA_Rekon_ARAP_(USD)2"/>
      <sheetName val="BA_Rekon_RevExp_(USD)2"/>
      <sheetName val="BA_Rekon_RevDWS-ExpTSEL_(SLI)2"/>
      <sheetName val="Jurnal_Memo_(USD)2"/>
      <sheetName val="Based_Data_wacc1"/>
      <sheetName val="Data_Sheet_1"/>
      <sheetName val="by_sendiri1"/>
      <sheetName val="bezeting_1"/>
      <sheetName val="NPWP_DEBITUR1"/>
      <sheetName val="rab_3_krt1"/>
      <sheetName val="rab_4_krt1"/>
      <sheetName val="rab_4_swt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Lamp_2_1"/>
      <sheetName val="REKAP_OMZET_KAPAL1"/>
      <sheetName val="KBT_1"/>
      <sheetName val="cilandak_payroll2"/>
      <sheetName val="PBC_S20032"/>
      <sheetName val="RMS_FUNGSIONAL1"/>
      <sheetName val="RMS_-_STR_(2)1"/>
      <sheetName val="p_mgmt1"/>
      <sheetName val="tabel_rimba1"/>
      <sheetName val="RO344_TOTAL1"/>
      <sheetName val="KBB-CIB_BANK1"/>
      <sheetName val="data_arus_kas1"/>
      <sheetName val="Cost_Analysis1"/>
      <sheetName val="Faktor_Pembatas_Luas_Areal1"/>
      <sheetName val="Fact_Truck1"/>
      <sheetName val="Coal_Boiler1"/>
      <sheetName val="Template_1"/>
      <sheetName val="Base_Data1"/>
      <sheetName val="BGT_Cashflow1"/>
      <sheetName val="TRADING_PROFIT1"/>
      <sheetName val="9211_Summary_of_CAJE1"/>
      <sheetName val="9212_Summary_of_AJE1"/>
      <sheetName val="9213_Summary_of_RJE1"/>
      <sheetName val="Project_Code_관리1"/>
      <sheetName val="List_as_of_October1"/>
      <sheetName val="R_Category2"/>
      <sheetName val="자금세탁_사례관리1"/>
      <sheetName val="전체_리스트1"/>
      <sheetName val="DAF_INVEN_U_O1"/>
      <sheetName val="Power_&amp;_Fuel(SMS)1"/>
      <sheetName val="Power_&amp;_Fuel(new)1"/>
      <sheetName val="Power_&amp;_Fuel_(S)1"/>
      <sheetName val="Power_&amp;_Fuel(c)1"/>
      <sheetName val="THREE_VARIABLES1"/>
      <sheetName val="POTO_MAC1"/>
      <sheetName val="Data_YTD1"/>
      <sheetName val="LARL-4_(TW)1"/>
      <sheetName val="Accrued_RO1"/>
      <sheetName val="SEC_Income_Statement1"/>
      <sheetName val="budget_20181"/>
      <sheetName val="SMU"/>
      <sheetName val="2004"/>
      <sheetName val="Bi.kirim"/>
      <sheetName val="Sheet 2"/>
      <sheetName val="OLDMAP"/>
      <sheetName val="Adf par resp"/>
      <sheetName val="Code_1"/>
      <sheetName val="PREMI"/>
      <sheetName val="std ip tanpa abnormal"/>
      <sheetName val="Summary Peserta"/>
      <sheetName val="Data Peserta"/>
      <sheetName val="Param"/>
      <sheetName val="Loading"/>
      <sheetName val="Assumption"/>
      <sheetName val="Recap OT"/>
      <sheetName val="Proses Gaji"/>
      <sheetName val="BENEFIT"/>
      <sheetName val="Premi Iuran"/>
      <sheetName val="OP"/>
      <sheetName val="int-h wk1"/>
      <sheetName val="REKAP BKK BANK"/>
      <sheetName val="Claim Ratio "/>
      <sheetName val="KWITANSI"/>
      <sheetName val="form Rnwl"/>
      <sheetName val="2003-2004"/>
      <sheetName val="Assetdb"/>
      <sheetName val="PersList"/>
      <sheetName val="AssetPar"/>
      <sheetName val="ABK.04.AWALR+CO+TAB.RUPS"/>
      <sheetName val="06. CC270616"/>
      <sheetName val="DATA3"/>
      <sheetName val="DATA1"/>
      <sheetName val="F.8.2 Details Premix"/>
      <sheetName val="FS - US$"/>
      <sheetName val="DATA WP"/>
      <sheetName val="Penyusutan Inventaris"/>
      <sheetName val="value"/>
      <sheetName val="TBSv"/>
      <sheetName val="DETAIL"/>
      <sheetName val="TBM"/>
      <sheetName val="Akomodasi"/>
      <sheetName val="book1"/>
      <sheetName val="DAIHATSU "/>
      <sheetName val="TM"/>
      <sheetName val="Valuation"/>
      <sheetName val="ReffTable"/>
      <sheetName val="SCHEDULE 9A(1 of 3)"/>
      <sheetName val="Acsys Key"/>
      <sheetName val="Consumable"/>
      <sheetName val="Tools"/>
      <sheetName val="CM_Genset_1"/>
      <sheetName val="CM Genset_2"/>
      <sheetName val="CP_PD"/>
      <sheetName val="Spare Part"/>
      <sheetName val="SMPS Relocation"/>
      <sheetName val="DG Cranking System"/>
      <sheetName val="Site Support and Maintenance"/>
      <sheetName val="tbl1"/>
      <sheetName val="Top'04"/>
      <sheetName val="Detail WPL Jan"/>
      <sheetName val="Ner"/>
      <sheetName val="N_Sld_Kmd"/>
      <sheetName val="N_Sld_Pku"/>
      <sheetName val="OPR-99"/>
      <sheetName val="Telephone &amp; KSO Rev"/>
      <sheetName val="FA sd APRIL 07"/>
      <sheetName val="JUAL_STD"/>
      <sheetName val="3 _ Balance Sheet"/>
      <sheetName val="_16 _ Final Budgets"/>
      <sheetName val="4 _ Income Statement"/>
      <sheetName val="5 _ Cash Flow"/>
      <sheetName val="DEPN 2001"/>
      <sheetName val="Gaji"/>
      <sheetName val="Control"/>
      <sheetName val="ChartData"/>
      <sheetName val="Subs Details 2004"/>
      <sheetName val="Start"/>
      <sheetName val="Mt.Ex-CurWk"/>
      <sheetName val="Fuel &amp; Safety - 2"/>
      <sheetName val="Source"/>
      <sheetName val="Generator"/>
      <sheetName val="Micro_S"/>
      <sheetName val="Brand"/>
      <sheetName val="Act_Sales"/>
      <sheetName val="AC"/>
      <sheetName val="JOURNAL"/>
      <sheetName val="SPI"/>
      <sheetName val="Galian batu"/>
      <sheetName val="4-01"/>
      <sheetName val="Faktoren"/>
      <sheetName val="C.FA_HO"/>
      <sheetName val="C.ICL_HO"/>
      <sheetName val="P.BS"/>
      <sheetName val="C.CS_HO"/>
      <sheetName val="C.WC"/>
      <sheetName val="A.Tax_HO"/>
      <sheetName val="Chks_BO"/>
      <sheetName val="Assets_LU"/>
      <sheetName val="LU_P_BA"/>
      <sheetName val="A.TS"/>
      <sheetName val="Corp_Tax_LU"/>
      <sheetName val="Dashboard"/>
      <sheetName val="P.IS"/>
      <sheetName val="C.Tax_HO"/>
      <sheetName val="C.OBSI_HO"/>
      <sheetName val="CALCULATE INDEKS"/>
      <sheetName val="P.CF"/>
      <sheetName val="A.FA_HO"/>
      <sheetName val="A.CAPEX_HO"/>
      <sheetName val="A.CS_HO"/>
      <sheetName val="A.WC_HO"/>
      <sheetName val="A.INV_HO"/>
      <sheetName val="C.INV_HO_TO"/>
      <sheetName val="A.ICL_HO"/>
      <sheetName val="Inter_Sum_P_BO"/>
      <sheetName val="P.IS_P"/>
      <sheetName val="A.OBSI_HO"/>
      <sheetName val="WC_LU"/>
      <sheetName val="OBSI_LU"/>
      <sheetName val="TS_LU"/>
      <sheetName val="KONSOLIDASI"/>
      <sheetName val="end"/>
      <sheetName val="Checks_BO"/>
      <sheetName val="Inc Stmt Sum"/>
      <sheetName val="May"/>
      <sheetName val="C90_NET"/>
      <sheetName val="Corp 04 DeprAmort Recap"/>
      <sheetName val="Total NA Food"/>
      <sheetName val="Other"/>
      <sheetName val="Canada"/>
      <sheetName val="Midwest"/>
      <sheetName val="East"/>
      <sheetName val="South"/>
      <sheetName val="Staff"/>
      <sheetName val="West"/>
      <sheetName val="QTIL -BSHEET"/>
      <sheetName val="Developer rev 99"/>
      <sheetName val=" Ad Sales  exp"/>
      <sheetName val="Bus Dev"/>
      <sheetName val="corp. exp"/>
      <sheetName val="LBO --&gt;"/>
      <sheetName val="ONYX"/>
      <sheetName val="Recon. Template"/>
      <sheetName val="Definitions"/>
      <sheetName val="Asset"/>
      <sheetName val="Pareto pivot"/>
      <sheetName val="Populasi pivot"/>
      <sheetName val="EXEC Summary"/>
      <sheetName val="Populasi"/>
      <sheetName val="Delay Down Chart pivot"/>
      <sheetName val="Yearly PA_MTBF_MTTR"/>
      <sheetName val="Delay Down Chart"/>
      <sheetName val="Fleet Pivot"/>
      <sheetName val="DownTime"/>
      <sheetName val="Fleet KPI"/>
      <sheetName val="Pareto"/>
      <sheetName val="Summary Training Operator"/>
      <sheetName val="Summary Mechanic Training"/>
      <sheetName val="PRODUCTION_REPORTS11"/>
      <sheetName val="ANIMATION_ONLY11"/>
      <sheetName val="ANIMATION_COST_FORECAST11"/>
      <sheetName val="EXTERNAL_ANIMATION11"/>
      <sheetName val="DB_MP10"/>
      <sheetName val="Sales_Parameter10"/>
      <sheetName val="KONS_BID_P&amp;N11"/>
      <sheetName val="UP_II_DUMAI11"/>
      <sheetName val="KP_DIT_HULU11"/>
      <sheetName val="UP_VI_BALONGAN11"/>
      <sheetName val="UP_1_BRANDAN11"/>
      <sheetName val="UP_V_BALIKPAPAN11"/>
      <sheetName val="DIT_HILIR11"/>
      <sheetName val="UP_IV_CILACAP11"/>
      <sheetName val="UP_III_PLAJU11"/>
      <sheetName val="KONS_DIT_HULU11"/>
      <sheetName val="KR_AMPEL11"/>
      <sheetName val="UP_VII_KASIM11"/>
      <sheetName val="KONS_BID_P11"/>
      <sheetName val="General_Info11"/>
      <sheetName val="2003_ACT_CFlow11"/>
      <sheetName val="2003_BGT_C_Flow11"/>
      <sheetName val="HO_Use11"/>
      <sheetName val="Engineering_Workload11"/>
      <sheetName val="2D_REPNew2_410"/>
      <sheetName val="absen_kebun_2810"/>
      <sheetName val="absen_panen_2810"/>
      <sheetName val="UPAH_2810"/>
      <sheetName val="ocean_voyage10"/>
      <sheetName val="Data_Opr10"/>
      <sheetName val="Table_510"/>
      <sheetName val="Income_Statement10"/>
      <sheetName val="Compensation_Data_Worksheet10"/>
      <sheetName val="Data_Opr_(2)10"/>
      <sheetName val="TANDA_TERIMA8"/>
      <sheetName val="KPC_Coal8"/>
      <sheetName val="Penyusutan_Kendaraan3"/>
      <sheetName val="rekap_pph_233"/>
      <sheetName val="21_&amp;_253"/>
      <sheetName val="C_O_A3"/>
      <sheetName val="Galian_12"/>
      <sheetName val="List_Unit2"/>
      <sheetName val="DAY_WORK2"/>
      <sheetName val="BAI_Calculation2"/>
      <sheetName val="OTHER_PREPAID_EXPENSE3"/>
      <sheetName val="Actuals_&amp;_Prior_Yr__Figures2"/>
      <sheetName val="Annual_Budget_Figures2"/>
      <sheetName val="Financial_Reports2"/>
      <sheetName val="Altman_Z_Score3"/>
      <sheetName val="TBCons_KMB043"/>
      <sheetName val="Exch_rate3"/>
      <sheetName val="rab_33_2011_krt3"/>
      <sheetName val="RADIO_CONTROLS3"/>
      <sheetName val="KPI-Data_Source3"/>
      <sheetName val="Permanent_info3"/>
      <sheetName val="FISIK_RAB_20003"/>
      <sheetName val="Satuan_Harga_Bahan3"/>
      <sheetName val="Satuan_Harga_Upah3"/>
      <sheetName val="Material_SAP3"/>
      <sheetName val="Master_File3"/>
      <sheetName val="Master_Data3"/>
      <sheetName val="Coef_Calculation3"/>
      <sheetName val="SLS-TGT-FEED_(FDM)3"/>
      <sheetName val="List_of_related_party3"/>
      <sheetName val="Scenarios_and_Sensitivities2"/>
      <sheetName val="Global_Assumptions2"/>
      <sheetName val="①　BP_vs_SPR_(TTL_Impact)3"/>
      <sheetName val="3_-_Balance_Sheet2"/>
      <sheetName val="4_-_Income_Statement2"/>
      <sheetName val="5_-_Cash_Flow2"/>
      <sheetName val="dongia_(2)2"/>
      <sheetName val="DON_GIA2"/>
      <sheetName val="THPDMoi__(2)2"/>
      <sheetName val="CHITIET_VL-NC2"/>
      <sheetName val="CHITIET_VL-NC-TT_-1p2"/>
      <sheetName val="TH_XL2"/>
      <sheetName val="CHITIET_VL-NC-TT-3p2"/>
      <sheetName val="t-h_HA_THE2"/>
      <sheetName val="TONGKE3p_2"/>
      <sheetName val="KPVC-BD_2"/>
      <sheetName val="pro_ra_op3"/>
      <sheetName val="Program_Triwulanan-042"/>
      <sheetName val="data_berat2"/>
      <sheetName val="Data_Parameter2"/>
      <sheetName val="SC_Pusat_BB3012"/>
      <sheetName val="SC_Pusat_BB3032"/>
      <sheetName val="SC_Pusat_krd2"/>
      <sheetName val="Analisa_Harga_Satuan2"/>
      <sheetName val="Tanah_092"/>
      <sheetName val="A_u_g2"/>
      <sheetName val="pihak_iii2"/>
      <sheetName val="nm_kbn2"/>
      <sheetName val="TBM_KR_20062"/>
      <sheetName val="almanak_&amp;hk_2"/>
      <sheetName val="K4__F&amp;F2"/>
      <sheetName val="C1_NOV2"/>
      <sheetName val="angs_griya2"/>
      <sheetName val="Draft_Neraca2"/>
      <sheetName val="rek_det_1-32"/>
      <sheetName val="HARGA_SATUAN2"/>
      <sheetName val="Chart_Of_Acc2"/>
      <sheetName val="Eksisting_Penarikan3"/>
      <sheetName val="Daftar_Harga3"/>
      <sheetName val="SKCD_DATA_GP_YK2"/>
      <sheetName val="RESOURCE_MODEL2"/>
      <sheetName val="Summary_UM2"/>
      <sheetName val="Bal_1997-19982"/>
      <sheetName val="CF_Pmt_creditor2"/>
      <sheetName val="Seb_KPI's2"/>
      <sheetName val="P&amp;L_Detail_SARold2"/>
      <sheetName val="H_Satuan2"/>
      <sheetName val="5614_a_Factory_Machinery2"/>
      <sheetName val="5614_b_Diesel_2"/>
      <sheetName val="5614_c_Factory_Equipment2"/>
      <sheetName val="5614_C_Coal_Boiler2"/>
      <sheetName val="BA_Rekon_ARDWS-APTSEL_(IDR)3"/>
      <sheetName val="BA_Rekon_RevDWS-ExpTSEL_(IDR)3"/>
      <sheetName val="BA_Rekon_ARAP_(USD)3"/>
      <sheetName val="BA_Rekon_RevExp_(USD)3"/>
      <sheetName val="BA_Rekon_RevDWS-ExpTSEL_(SLI)3"/>
      <sheetName val="Jurnal_Memo_(USD)3"/>
      <sheetName val="Based_Data_wacc2"/>
      <sheetName val="Data_Sheet_2"/>
      <sheetName val="by_sendiri2"/>
      <sheetName val="bezeting_2"/>
      <sheetName val="NPWP_DEBITUR2"/>
      <sheetName val="rab_3_krt2"/>
      <sheetName val="rab_4_krt2"/>
      <sheetName val="rab_4_swt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Lamp_2_2"/>
      <sheetName val="REKAP_OMZET_KAPAL2"/>
      <sheetName val="KBT_2"/>
      <sheetName val="cilandak_payroll3"/>
      <sheetName val="PBC_S20033"/>
      <sheetName val="RMS_FUNGSIONAL2"/>
      <sheetName val="RMS_-_STR_(2)2"/>
      <sheetName val="p_mgmt2"/>
      <sheetName val="tabel_rimba2"/>
      <sheetName val="RO344_TOTAL2"/>
      <sheetName val="KBB-CIB_BANK2"/>
      <sheetName val="data_arus_kas2"/>
      <sheetName val="Cost_Analysis2"/>
      <sheetName val="Faktor_Pembatas_Luas_Areal2"/>
      <sheetName val="Fact_Truck2"/>
      <sheetName val="Coal_Boiler2"/>
      <sheetName val="Template_2"/>
      <sheetName val="Base_Data2"/>
      <sheetName val="BGT_Cashflow2"/>
      <sheetName val="TRADING_PROFIT2"/>
      <sheetName val="9211_Summary_of_CAJE2"/>
      <sheetName val="9212_Summary_of_AJE2"/>
      <sheetName val="9213_Summary_of_RJE2"/>
      <sheetName val="Project_Code_관리2"/>
      <sheetName val="List_as_of_October2"/>
      <sheetName val="R_Category3"/>
      <sheetName val="자금세탁_사례관리2"/>
      <sheetName val="전체_리스트2"/>
      <sheetName val="DAF_INVEN_U_O2"/>
      <sheetName val="Power_&amp;_Fuel(SMS)2"/>
      <sheetName val="Power_&amp;_Fuel(new)2"/>
      <sheetName val="Power_&amp;_Fuel_(S)2"/>
      <sheetName val="Power_&amp;_Fuel(c)2"/>
      <sheetName val="THREE_VARIABLES2"/>
      <sheetName val="POTO_MAC2"/>
      <sheetName val="Data_YTD2"/>
      <sheetName val="LARL-4_(TW)2"/>
      <sheetName val="Accrued_RO2"/>
      <sheetName val="SEC_Income_Statement2"/>
      <sheetName val="budget_20182"/>
      <sheetName val="ACT_HAUL"/>
      <sheetName val="HAUL_C1,C2,C3"/>
      <sheetName val="Bangunan_Utama_B"/>
      <sheetName val="Doc_Type_Ref"/>
      <sheetName val="List_as_of_Dec16"/>
      <sheetName val="INDIRECT_DETAIL"/>
      <sheetName val="Kode_BKU"/>
      <sheetName val="AU_31_Komputer"/>
      <sheetName val="rab_8(over_swt)"/>
      <sheetName val="rab_8_2(swt)"/>
      <sheetName val="lp_kmmda"/>
      <sheetName val="karet_RKAP"/>
      <sheetName val="bez_karpel1"/>
      <sheetName val="lembar_kerja1"/>
      <sheetName val="CA_Sheet"/>
      <sheetName val="Deferred_Revenue_Nov_04"/>
      <sheetName val="TAX_COM"/>
      <sheetName val="Noodles_(assumptions)"/>
      <sheetName val="Operation_01-0207"/>
      <sheetName val="Nrj_Ljr"/>
      <sheetName val="Exc__Rate"/>
      <sheetName val="AP_Trade"/>
      <sheetName val="Indirects_MBR"/>
      <sheetName val="fr_BS"/>
      <sheetName val="Bi_kirim"/>
      <sheetName val="Excess_Calc"/>
      <sheetName val="Sheet_2"/>
      <sheetName val="Adf_par_resp"/>
      <sheetName val="ADJ_AUG12,2010"/>
      <sheetName val="Benefit_Design"/>
      <sheetName val="Experience_Rating"/>
      <sheetName val="std_ip_tanpa_abnormal"/>
      <sheetName val="Summary_Peserta"/>
      <sheetName val="Data_Peserta"/>
      <sheetName val="Recap_OT"/>
      <sheetName val="Proses_Gaji"/>
      <sheetName val="Premi_Iuran"/>
      <sheetName val="int-h_wk1"/>
      <sheetName val="REKAP_BKK_BANK"/>
      <sheetName val="Claim_Ratio_"/>
      <sheetName val="form_Rnwl"/>
      <sheetName val="ABK_04_AWALR+CO+TAB_RUPS"/>
      <sheetName val="06__CC270616"/>
      <sheetName val="F_8_2_Details_Premix"/>
      <sheetName val="FS_-_US$"/>
      <sheetName val="DATA_WP"/>
      <sheetName val="Penyusutan_Inventaris"/>
      <sheetName val="A_02-I"/>
      <sheetName val="DAIHATSU_"/>
      <sheetName val="Currency_Spot_Rates"/>
      <sheetName val="TARGET_FINAL"/>
      <sheetName val="SCHEDULE_9A(1_of_3)"/>
      <sheetName val="Acsys_Key"/>
      <sheetName val="CM_Genset_2"/>
      <sheetName val="Spare_Part"/>
      <sheetName val="SMPS_Relocation"/>
      <sheetName val="DG_Cranking_System"/>
      <sheetName val="Site_Support_and_Maintenance"/>
      <sheetName val="5313_Test_Allowance_(aging)"/>
      <sheetName val="1_Rollfwd"/>
      <sheetName val="Pain_data"/>
      <sheetName val="Account_Codes_"/>
      <sheetName val="Detail_WPL_Jan"/>
      <sheetName val="Telephone_&amp;_KSO_Rev"/>
      <sheetName val="FA_sd_APRIL_07"/>
      <sheetName val="3___Balance_Sheet"/>
      <sheetName val="_16___Final_Budgets"/>
      <sheetName val="4___Income_Statement"/>
      <sheetName val="5___Cash_Flow"/>
      <sheetName val="DEPN_2001"/>
      <sheetName val="Subs_Details_2004"/>
      <sheetName val="Mt_Ex-CurWk"/>
      <sheetName val="Fuel_&amp;_Safety_-_2"/>
      <sheetName val="Galian_batu"/>
      <sheetName val="C_FA_HO"/>
      <sheetName val="C_ICL_HO"/>
      <sheetName val="P_BS"/>
      <sheetName val="C_CS_HO"/>
      <sheetName val="C_WC"/>
      <sheetName val="A_Tax_HO"/>
      <sheetName val="A_TS"/>
      <sheetName val="P_IS"/>
      <sheetName val="C_Tax_HO"/>
      <sheetName val="C_OBSI_HO"/>
      <sheetName val="CALCULATE_INDEKS"/>
      <sheetName val="P_CF"/>
      <sheetName val="A_FA_HO"/>
      <sheetName val="A_CAPEX_HO"/>
      <sheetName val="A_CS_HO"/>
      <sheetName val="A_WC_HO"/>
      <sheetName val="A_INV_HO"/>
      <sheetName val="C_INV_HO_TO"/>
      <sheetName val="A_ICL_HO"/>
      <sheetName val="P_IS_P"/>
      <sheetName val="A_OBSI_HO"/>
      <sheetName val="Inc_Stmt_Sum"/>
      <sheetName val="Corp_04_DeprAmort_Recap"/>
      <sheetName val="Total_NA_Food"/>
      <sheetName val="QTIL_-BSHEET"/>
      <sheetName val="Developer_rev_99"/>
      <sheetName val="_Ad_Sales__exp"/>
      <sheetName val="Bus_Dev"/>
      <sheetName val="corp__exp"/>
      <sheetName val="LBO_--&gt;"/>
      <sheetName val="Recon__Template"/>
      <sheetName val="Form_4"/>
      <sheetName val="Organization_Chart"/>
      <sheetName val="Pareto_pivot"/>
      <sheetName val="Populasi_pivot"/>
      <sheetName val="EXEC_Summary"/>
      <sheetName val="Delay_Down_Chart_pivot"/>
      <sheetName val="Yearly_PA_MTBF_MTTR"/>
      <sheetName val="Delay_Down_Chart"/>
      <sheetName val="Fleet_Pivot"/>
      <sheetName val="Fleet_KPI"/>
      <sheetName val="Summary_Training_Operator"/>
      <sheetName val="Summary_Mechanic_Training"/>
      <sheetName val="KONS2005"/>
      <sheetName val="Dummy"/>
      <sheetName val="Atur"/>
      <sheetName val="BSHO Report"/>
      <sheetName val="Front"/>
      <sheetName val="Check Sheet"/>
      <sheetName val="PLHO Report"/>
      <sheetName val="PLHOENG"/>
      <sheetName val="BL2"/>
      <sheetName val="BAU_BAU"/>
      <sheetName val="%tase"/>
      <sheetName val="EX RATE"/>
      <sheetName val="FSA"/>
      <sheetName val="Proposed 2003 Salary Range"/>
      <sheetName val="Adjustment"/>
      <sheetName val="#16 - Final Budgets"/>
      <sheetName val="EXC-R2005"/>
      <sheetName val="Comp equip"/>
      <sheetName val="FFE"/>
      <sheetName val="BS15"/>
      <sheetName val="K5-1"/>
      <sheetName val="Exch. rate calc."/>
      <sheetName val="Contracts"/>
      <sheetName val="loan 1"/>
      <sheetName val="Monthly RecapLO"/>
      <sheetName val="Contract"/>
      <sheetName val="EngineGas"/>
      <sheetName val="PSC"/>
      <sheetName val="General Assumption"/>
      <sheetName val="EngineOil"/>
      <sheetName val="VAT _2010_SPM"/>
      <sheetName val="FA99B"/>
      <sheetName val="FE-1771$.P1"/>
      <sheetName val="jvr"/>
      <sheetName val="OFF"/>
      <sheetName val="FURN"/>
      <sheetName val="COMP"/>
      <sheetName val="RKP PLUMBING"/>
      <sheetName val="INV-KTR"/>
      <sheetName val="BQ ARS"/>
      <sheetName val="Supl.X"/>
      <sheetName val="HB"/>
      <sheetName val="FORM01"/>
      <sheetName val="Estimate"/>
      <sheetName val="STP"/>
      <sheetName val="lam-ssp Mdn"/>
      <sheetName val="NHM5407"/>
      <sheetName val="BUTYL 070303 "/>
      <sheetName val="Agust"/>
      <sheetName val="Pit's"/>
      <sheetName val="September"/>
      <sheetName val="Grafik Trial"/>
      <sheetName val="bg"/>
      <sheetName val="TKCJ20_5%"/>
      <sheetName val="Fak_aktif"/>
      <sheetName val="Workings"/>
      <sheetName val="Bag_1"/>
      <sheetName val="Bag_2"/>
      <sheetName val="Bag_9"/>
      <sheetName val="Log"/>
      <sheetName val="Fitting"/>
      <sheetName val="BQ-E20-02(Rp)"/>
      <sheetName val="BOY"/>
      <sheetName val="ISI"/>
      <sheetName val="NB BOY"/>
      <sheetName val="NB ISI"/>
      <sheetName val="PDPC0908"/>
      <sheetName val="analis"/>
      <sheetName val="CIP_USD"/>
      <sheetName val="SUMMFA-USD"/>
      <sheetName val="Investment"/>
      <sheetName val="A3_USD_PL02"/>
      <sheetName val="ShareCapital"/>
      <sheetName val="Inventories"/>
      <sheetName val="NRSTOCK"/>
      <sheetName val="addl cost"/>
      <sheetName val="accumdeprn"/>
      <sheetName val="KANDIR"/>
      <sheetName val="KSO"/>
      <sheetName val="PENG"/>
      <sheetName val="P2WAS"/>
      <sheetName val="DLAB3"/>
      <sheetName val="DLAB2"/>
      <sheetName val="DLAB1"/>
      <sheetName val="DSIMA"/>
      <sheetName val="DASAH"/>
      <sheetName val="XL4Test5"/>
      <sheetName val="Pinus"/>
      <sheetName val="#Lookup"/>
      <sheetName val="HPP"/>
      <sheetName val="Lap des"/>
      <sheetName val="01"/>
      <sheetName val="RAB_17"/>
      <sheetName val="Lam Pool"/>
      <sheetName val="RAB-33"/>
      <sheetName val="bez.karpim"/>
      <sheetName val="Progres"/>
      <sheetName val="COMBINE"/>
      <sheetName val="Data TBM I&amp;II"/>
      <sheetName val="PER-HP"/>
      <sheetName val="CONFIG"/>
      <sheetName val="vol rimba"/>
      <sheetName val="Jagorawi"/>
      <sheetName val="Kantor Pusat"/>
      <sheetName val="L12 Akt Tetap"/>
      <sheetName val="kriteria"/>
      <sheetName val="Anl-Umum"/>
      <sheetName val="unit 3"/>
      <sheetName val="Lap_des"/>
      <sheetName val="vol_rimba"/>
      <sheetName val="Data_TBM_I&amp;II"/>
      <sheetName val="Kantor_Pusat"/>
      <sheetName val="L12_Akt_Tetap"/>
      <sheetName val="Kode_BKU1"/>
      <sheetName val="AU_31_Komputer1"/>
      <sheetName val="rab_8(over_swt)1"/>
      <sheetName val="rab_8_2(swt)1"/>
      <sheetName val="INDIRECT_DETAIL1"/>
      <sheetName val="lp_kmmda1"/>
      <sheetName val="karet_RKAP1"/>
      <sheetName val="bez_karpel2"/>
      <sheetName val="lembar_kerja2"/>
      <sheetName val="CA_Sheet1"/>
      <sheetName val="SAD"/>
      <sheetName val="LM13_16"/>
      <sheetName val="allokasi_gaji"/>
      <sheetName val="rab.28.2011.krt"/>
      <sheetName val="rab.24.2011.krt"/>
      <sheetName val="rab.33"/>
      <sheetName val="hk"/>
      <sheetName val="O5_IBA"/>
      <sheetName val="rab lt 2 bo"/>
      <sheetName val="An_ Harga"/>
      <sheetName val="3-DIV10"/>
      <sheetName val="Analisa SNI STANDART "/>
      <sheetName val="Jun 98"/>
      <sheetName val="Bhn"/>
      <sheetName val="PENJ.NERACA"/>
      <sheetName val="CASH FLOW"/>
      <sheetName val="BIODATA"/>
      <sheetName val="Analis Kusen okk"/>
      <sheetName val="AR1-F20"/>
      <sheetName val="Plc Staff Recharges"/>
      <sheetName val="pivot table"/>
      <sheetName val="WPL"/>
      <sheetName val="HopCon"/>
      <sheetName val="FKT_PJK"/>
      <sheetName val="COGS"/>
      <sheetName val="JLSNER-HD99_"/>
      <sheetName val="FORM-X-1"/>
      <sheetName val="List PT"/>
      <sheetName val="INCOME RATNA"/>
      <sheetName val="PV Demand Forecast Breakdown"/>
      <sheetName val="Grand Sum BT"/>
      <sheetName val="Grand_Sum_BT"/>
      <sheetName val="Input_Sing_Life"/>
      <sheetName val="Daf Harga"/>
      <sheetName val="Bill"/>
      <sheetName val="Rekap Bill"/>
      <sheetName val="Regulated Tariff"/>
      <sheetName val="REKAP Package I"/>
      <sheetName val="Fill this out first___"/>
      <sheetName val="Daf_Harga"/>
      <sheetName val="Rekap_Bill"/>
      <sheetName val="An__Harga"/>
      <sheetName val="Regulated_Tariff"/>
      <sheetName val="REKAP_Package_I"/>
      <sheetName val="Fill_this_out_first___"/>
      <sheetName val="KKP 01 Audit"/>
      <sheetName val="kas-idr"/>
      <sheetName val="Loan Calculator"/>
      <sheetName val="Aug"/>
      <sheetName val="GrFour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  <sheetName val="GoEight"/>
      <sheetName val="DATA LTW"/>
      <sheetName val="Bahan"/>
      <sheetName val="upah-bahan satker_revisi"/>
      <sheetName val="Health"/>
      <sheetName val="Comparable Firms"/>
      <sheetName val="NB_BOY"/>
      <sheetName val="NB_ISI"/>
      <sheetName val="INCOME_RATNA"/>
      <sheetName val="List_PT"/>
      <sheetName val="Analis_Kusen_okk"/>
      <sheetName val="PV_Demand_Forecast_Breakdown"/>
      <sheetName val="rab_lt_2_bo"/>
      <sheetName val="Analisa_SNI_STANDART_"/>
      <sheetName val="Jun_98"/>
      <sheetName val="Grand_Sum_BT1"/>
      <sheetName val="PENJ_NERACA"/>
      <sheetName val="CASH_FLOW"/>
      <sheetName val="Daftar Data Request"/>
      <sheetName val="MAP"/>
      <sheetName val="div-2"/>
      <sheetName val="BASIC"/>
      <sheetName val="RKP"/>
      <sheetName val="dasboard"/>
      <sheetName val="anal"/>
      <sheetName val="DIV 6"/>
      <sheetName val="DIV 7"/>
      <sheetName val="HS-DSR"/>
      <sheetName val="RPP01 6"/>
      <sheetName val="RPP01 3"/>
      <sheetName val="Rekap 1"/>
      <sheetName val="7.공정표"/>
      <sheetName val="hsd"/>
      <sheetName val="sai"/>
      <sheetName val="B.U.A"/>
      <sheetName val="Div-5"/>
      <sheetName val="Div-3"/>
      <sheetName val="Div2"/>
      <sheetName val="Rekap Biaya"/>
      <sheetName val="PROJ CASH"/>
      <sheetName val="Cover Sheet"/>
      <sheetName val="PRO"/>
      <sheetName val="Exchange Rates"/>
      <sheetName val=""/>
      <sheetName val="H1b Accounts Payable"/>
      <sheetName val="P1 Equity"/>
      <sheetName val="Sale-Leaseback (2)"/>
      <sheetName val="R~INS-01"/>
      <sheetName val="AnalisaSIPIL RIIL RAP"/>
      <sheetName val="Data Sheet"/>
      <sheetName val="Tab DPA"/>
      <sheetName val="RumusTB 1 bln"/>
      <sheetName val="bunga"/>
      <sheetName val="AGUNANDES"/>
      <sheetName val="pm"/>
      <sheetName val="412src2"/>
      <sheetName val="412"/>
      <sheetName val="SELISIHKURSSOURCE"/>
      <sheetName val="kawin-anak(m)"/>
      <sheetName val="Base Info"/>
      <sheetName val="Curah hujan"/>
      <sheetName val="XXXXXXXXXXXX"/>
      <sheetName val="LHP7"/>
      <sheetName val="AK (DELTA)"/>
      <sheetName val="MGR-12"/>
      <sheetName val="ASSUM-COMB-Prop"/>
      <sheetName val="Fomat  1"/>
      <sheetName val="Breakevn"/>
      <sheetName val="CASTING"/>
      <sheetName val="Nov"/>
      <sheetName val="B7"/>
      <sheetName val="Note1-Interco"/>
      <sheetName val="Note3-Invest"/>
      <sheetName val="Note2-Equity"/>
      <sheetName val="Bal Sheet"/>
      <sheetName val="Prod Plan"/>
      <sheetName val="Incentives"/>
      <sheetName val="SO Incentive Graphs1"/>
      <sheetName val="SO Incentive Graphs2"/>
      <sheetName val="SO Incentive Graphs3"/>
      <sheetName val="SO Incentive Graphs4"/>
      <sheetName val="LEAGUE"/>
      <sheetName val="Karen SAP"/>
      <sheetName val="May 03"/>
      <sheetName val="L2 Manpower"/>
      <sheetName val="L2 Summary"/>
      <sheetName val="GBSO"/>
      <sheetName val="Adjusted Beta"/>
      <sheetName val="Risk-Free Rate"/>
      <sheetName val="Time Estimates"/>
      <sheetName val="KISSAN"/>
      <sheetName val="Model"/>
      <sheetName val="Attributes"/>
      <sheetName val="INQ"/>
      <sheetName val="EU Comps"/>
      <sheetName val="IS"/>
      <sheetName val="COS"/>
      <sheetName val="COMB3"/>
      <sheetName val="Sheet2"/>
      <sheetName val="checks"/>
      <sheetName val="instalasi disp Mei"/>
      <sheetName val="Income Statements"/>
      <sheetName val="05L-06Pivot"/>
      <sheetName val="Results from Nov 98"/>
      <sheetName val="harga"/>
      <sheetName val="dBase"/>
      <sheetName val="trf multiple dnrks"/>
      <sheetName val="BGT97STAFF"/>
      <sheetName val="P100"/>
      <sheetName val="TblPajak"/>
      <sheetName val="trf multiple"/>
      <sheetName val="trfakt sgl"/>
      <sheetName val="Reconciliation"/>
      <sheetName val="A.4.3"/>
      <sheetName val="A.4.2"/>
      <sheetName val="PSPC_LE_Pnext_Current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K 2.1"/>
      <sheetName val="Spec"/>
      <sheetName val="1+Pancang"/>
      <sheetName val="KEY"/>
      <sheetName val="Consolidated Forecast"/>
      <sheetName val="Consolidated Actual"/>
      <sheetName val="Cash"/>
      <sheetName val="COGS TP"/>
      <sheetName val="Prex"/>
      <sheetName val="Opex"/>
      <sheetName val="Inventory&amp;Purchases"/>
      <sheetName val="Sales GA"/>
      <sheetName val="CF-satu"/>
      <sheetName val="CF Rp-USD"/>
      <sheetName val="Lists"/>
      <sheetName val="UK"/>
      <sheetName val="CARnCT"/>
      <sheetName val="BEFORE ALLOCATION"/>
      <sheetName val="OUSTANDING"/>
      <sheetName val="OUSTANDING_ANW"/>
      <sheetName val="P&amp;L"/>
      <sheetName val="ESC"/>
      <sheetName val="MK"/>
      <sheetName val="CH rancangan"/>
      <sheetName val="Calculations"/>
      <sheetName val="KASUS10"/>
      <sheetName val="FE-1770.P1"/>
      <sheetName val="Data_Plan"/>
      <sheetName val="Pivot"/>
      <sheetName val="rincian UMUR"/>
      <sheetName val="SKEP-84"/>
      <sheetName val="key indic."/>
      <sheetName val="SAA"/>
      <sheetName val="JU"/>
      <sheetName val="_REF"/>
      <sheetName val="TRIAL"/>
      <sheetName val="STATE"/>
      <sheetName val="BSHO_Report"/>
      <sheetName val="Check_Sheet"/>
      <sheetName val="PLHO_Report"/>
      <sheetName val="addl_cost"/>
      <sheetName val="unit_3"/>
      <sheetName val="URUTBH"/>
      <sheetName val="Absensi"/>
      <sheetName val="mega"/>
      <sheetName val="prima"/>
      <sheetName val="tira"/>
      <sheetName val="Oct 03"/>
      <sheetName val="MLS.2 Add BP"/>
      <sheetName val="Sandi laba rugi"/>
      <sheetName val="BS final"/>
      <sheetName val="MacPro"/>
      <sheetName val="HG_BEL"/>
      <sheetName val="Fixed Assets - CDN$ - Detail"/>
      <sheetName val="Other Valid Codes"/>
      <sheetName val="Plant_Loc"/>
      <sheetName val="UoM"/>
      <sheetName val="Currencies"/>
      <sheetName val="CF_Rp-USD"/>
      <sheetName val="K-lead"/>
      <sheetName val="TB 07 08"/>
      <sheetName val="Posting control"/>
      <sheetName val="TEMPLATE"/>
      <sheetName val="Acccounts"/>
      <sheetName val="KU-Ajt'03"/>
      <sheetName val="t.b"/>
      <sheetName val="period 5"/>
      <sheetName val="Nat"/>
      <sheetName val="GT"/>
      <sheetName val="MTDB"/>
      <sheetName val="MTDS"/>
      <sheetName val="Conversion"/>
      <sheetName val="E-retail"/>
      <sheetName val="Overview"/>
      <sheetName val="Basic Info"/>
      <sheetName val="HT Nat"/>
      <sheetName val="HT GT"/>
      <sheetName val="HT MTDB"/>
      <sheetName val="HT MTDS"/>
      <sheetName val="HT E-retail"/>
      <sheetName val="HT Nat Channel"/>
      <sheetName val="HT Nat Channel SCP B20 to LE19"/>
      <sheetName val="COGS B2020 vs B2019 compare"/>
      <sheetName val="COGS SKU HT B2020"/>
      <sheetName val="Listing by SKU"/>
      <sheetName val="Summary &amp; Phasing MT"/>
      <sheetName val="Details GT"/>
      <sheetName val="COGS B2019 (box) sum"/>
      <sheetName val="Master Data Correction"/>
      <sheetName val="Summary by Channel"/>
      <sheetName val="Stock Projection"/>
      <sheetName val="Item Data"/>
      <sheetName val="Paremeters"/>
      <sheetName val="F18 EO Rates"/>
      <sheetName val="F19-F21 Inflation"/>
      <sheetName val="FAI-1"/>
      <sheetName val="Key Stats"/>
      <sheetName val="17000100 roll "/>
      <sheetName val="FRN"/>
      <sheetName val="JJCP AP TRADE"/>
      <sheetName val="DIV-7"/>
      <sheetName val="vels"/>
      <sheetName val="daya"/>
      <sheetName val="Master Edit"/>
      <sheetName val="Grinding by Month"/>
      <sheetName val="rincian per proyek"/>
      <sheetName val="Projection"/>
      <sheetName val="BQ"/>
      <sheetName val="Scenario"/>
      <sheetName val="Grinding by Quarter"/>
      <sheetName val="Recap"/>
      <sheetName val="fcsp-w"/>
      <sheetName val="BQ-1A"/>
      <sheetName val="Original Sheet"/>
      <sheetName val="form evaluasi"/>
      <sheetName val="DETAIL POS 123"/>
      <sheetName val="Gmd3"/>
      <sheetName val="C"/>
      <sheetName val="DASH"/>
      <sheetName val="Schedule 11a"/>
      <sheetName val="Temporary"/>
      <sheetName val="Septick tank"/>
      <sheetName val="Subkon"/>
      <sheetName val="Ana. PU"/>
      <sheetName val="RENPEN"/>
      <sheetName val="Fill this out first..."/>
      <sheetName val="pricing"/>
      <sheetName val="112-885"/>
      <sheetName val="Breakdown"/>
      <sheetName val="BUL"/>
      <sheetName val="Meto"/>
      <sheetName val="MAP-Prog"/>
      <sheetName val="34"/>
      <sheetName val="35"/>
      <sheetName val="IMPUT PENERIMAAN BULK WB"/>
      <sheetName val="HUTANG PER VENDOR 09"/>
      <sheetName val="IMPUT PENERIMAAN BAG PRODUKSI"/>
      <sheetName val="PEMAKAIAN BY PRODUKSI"/>
      <sheetName val="Konfirm"/>
      <sheetName val="NP"/>
      <sheetName val="Particular Sch"/>
      <sheetName val="ACTABLE"/>
      <sheetName val="Master 1.0"/>
      <sheetName val="Nominals"/>
      <sheetName val="KKP"/>
      <sheetName val="MASTER "/>
      <sheetName val="ACCOUNTS31Okt2005"/>
      <sheetName val="VARIABLE"/>
      <sheetName val="12-06-ins"/>
      <sheetName val="KAS $"/>
      <sheetName val="FA1999"/>
      <sheetName val="eCommerce"/>
      <sheetName val="Project Data"/>
      <sheetName val="Outdoorization 2021"/>
      <sheetName val="R Lead"/>
      <sheetName val="Tiff-Maried Gold &amp; Choki S.P"/>
      <sheetName val="MT Tiff-done"/>
      <sheetName val="East Coast-done"/>
      <sheetName val="All-done"/>
      <sheetName val="tax-ss"/>
      <sheetName val="satpek"/>
      <sheetName val="Mesin"/>
      <sheetName val="Komp Rev"/>
      <sheetName val="AA.1.1 BNI"/>
      <sheetName val="Cashflow Analysis"/>
      <sheetName val="Petunjuk"/>
      <sheetName val="Daftar Risiko"/>
      <sheetName val="Grafik (2)"/>
      <sheetName val="BTR"/>
      <sheetName val="Rencana Mitigasi"/>
      <sheetName val="Dampak Residual"/>
      <sheetName val="BTR &amp; Kertas kerja ABI"/>
      <sheetName val="Residual Exposure"/>
      <sheetName val="Cetak RR"/>
      <sheetName val="Peta Inherent"/>
      <sheetName val="Peta Residual"/>
      <sheetName val="Upload"/>
      <sheetName val="Rencana Mitigasi_NPV"/>
      <sheetName val="C94151"/>
      <sheetName val="10"/>
      <sheetName val="Aging"/>
      <sheetName val="SK HTM"/>
      <sheetName val="Entry  HTM"/>
      <sheetName val="HRG BAHAN &amp; UPAH okk"/>
      <sheetName val="accts"/>
      <sheetName val="costs"/>
      <sheetName val="Payment Request Form"/>
      <sheetName val="LMI CUBE-F18 SKU (CY)"/>
      <sheetName val="LMI CUBE-F18 SKU (FY)"/>
      <sheetName val="LSI CUBE-F18 SKU (CY)"/>
      <sheetName val="LSI CUBE-F18 Sub Brand (FY)"/>
      <sheetName val="LSI CUBE-F19 Sub Brand (FY)"/>
      <sheetName val="DFI CUBE-F18 SKU (CY)"/>
      <sheetName val="DFI CUBE-F18 SKU (FY)"/>
      <sheetName val="DFI CUBE-F18 BY Area"/>
      <sheetName val="Kamus (2)"/>
      <sheetName val="all acc"/>
      <sheetName val="inc retur (2)"/>
      <sheetName val="inc retur"/>
      <sheetName val="exc retur"/>
      <sheetName val="MKT"/>
      <sheetName val="procedure F19 P1"/>
      <sheetName val="Sheet2 (2)"/>
      <sheetName val="BS Account"/>
      <sheetName val="P&amp;L Account"/>
      <sheetName val="Profit Centre"/>
      <sheetName val="Vendor Code"/>
      <sheetName val="Data_Sheet"/>
      <sheetName val="Tab_DPA"/>
      <sheetName val="RumusTB_1_bln"/>
      <sheetName val="ANALISA TAMBAHAN"/>
      <sheetName val="ANALISA BETON "/>
      <sheetName val="ANL-1"/>
      <sheetName val="MAPDC"/>
      <sheetName val="Analisa ME"/>
      <sheetName val="Informatique"/>
      <sheetName val="STO_tariff"/>
      <sheetName val="THRK"/>
      <sheetName val="Worksheet-03"/>
      <sheetName val="ACT PROD"/>
      <sheetName val="PLAN PROD"/>
      <sheetName val="VEN"/>
      <sheetName val="194"/>
      <sheetName val="132 "/>
      <sheetName val="WorkGroup"/>
      <sheetName val="Master Employee"/>
      <sheetName val="Komposisi"/>
      <sheetName val="IN"/>
      <sheetName val="OUT"/>
      <sheetName val="List Pemutihan"/>
      <sheetName val="PKL &amp; KONTRAKTOR"/>
      <sheetName val="Rekons PPh 21"/>
      <sheetName val="Consolidated"/>
      <sheetName val="Read Me"/>
      <sheetName val="Input assumptions"/>
      <sheetName val="Scenario Inputs"/>
      <sheetName val=" Results Summary"/>
      <sheetName val="I-O summary"/>
      <sheetName val="KPMG Cash Flow"/>
      <sheetName val="Cashflows"/>
      <sheetName val="Financial Statements"/>
      <sheetName val="NCF (MOD)"/>
      <sheetName val="Production"/>
      <sheetName val="Key CF"/>
      <sheetName val="Actqty"/>
      <sheetName val="ActUnithrs"/>
      <sheetName val="ActUnitrate"/>
      <sheetName val="Budgetqty"/>
      <sheetName val="BudgetUnithrs"/>
      <sheetName val="Planthrs"/>
      <sheetName val="BS"/>
      <sheetName val="PL (MONTHLY)"/>
      <sheetName val="PEGAWAI"/>
      <sheetName val="RK1"/>
      <sheetName val="Links"/>
      <sheetName val="FF"/>
      <sheetName val="Depre"/>
      <sheetName val="Bgn"/>
      <sheetName val="escon"/>
      <sheetName val="MPK"/>
      <sheetName val="Past Performance"/>
      <sheetName val="PAK-01"/>
      <sheetName val="pak03"/>
      <sheetName val="FRP 2007"/>
      <sheetName val="Proyeksi"/>
      <sheetName val="HS "/>
      <sheetName val="105C"/>
      <sheetName val="CF 2005"/>
      <sheetName val="FAK"/>
      <sheetName val="CF"/>
      <sheetName val="daf_3_OK_"/>
      <sheetName val="daf_7_OK_"/>
      <sheetName val="DN05-99"/>
      <sheetName val="harry"/>
      <sheetName val="cek"/>
      <sheetName val="DROP_DOWN"/>
      <sheetName val="SCH_2"/>
      <sheetName val="F-2"/>
      <sheetName val="Thai"/>
      <sheetName val="IND"/>
      <sheetName val="CBD"/>
      <sheetName val="MALE"/>
      <sheetName val="PNG"/>
      <sheetName val="VIET"/>
      <sheetName val="BPW-Europe"/>
      <sheetName val="Bill Of Quantity"/>
      <sheetName val="Analisa Gabungan"/>
      <sheetName val="s"/>
      <sheetName val="DAF-1"/>
      <sheetName val="Progres Rasio LR"/>
      <sheetName val="Harsat Alat"/>
      <sheetName val="RAP Change"/>
      <sheetName val="DATA PROYEK"/>
      <sheetName val="Analisa Harsat"/>
      <sheetName val="Harsat Bahan"/>
      <sheetName val="Renc Camp"/>
      <sheetName val="Rekap RAP"/>
      <sheetName val="Bantu"/>
      <sheetName val="K5"/>
      <sheetName val="Volume Intern"/>
      <sheetName val="Volume Ekstern"/>
      <sheetName val="Schedule"/>
      <sheetName val="Progress Ekstern"/>
      <sheetName val="Harsat SubKon"/>
      <sheetName val="BA Pemeriksaan"/>
      <sheetName val="Rekap K5"/>
      <sheetName val="RAB"/>
      <sheetName val="Koefisien"/>
      <sheetName val="BA Evaluasi"/>
      <sheetName val="Biaya LONSTAD"/>
      <sheetName val="Laporan Mingguan"/>
      <sheetName val="BAP"/>
      <sheetName val="BA Fisik"/>
      <sheetName val="Penilaian Hasil FHO"/>
      <sheetName val="Penilaian Hasil PHO"/>
      <sheetName val="Penyampaian Evaluasi"/>
      <sheetName val="Permhnan CCO"/>
      <sheetName val="Permhnan FHO"/>
      <sheetName val="Permhnan PHO"/>
      <sheetName val="Persetujuan CCO"/>
      <sheetName val="Proposal"/>
      <sheetName val="Pemakaian Bahan"/>
      <sheetName val="Pengadaan Bahan"/>
      <sheetName val="Volume Mingguan"/>
      <sheetName val="Laporan Bulanan"/>
      <sheetName val="Rekap MC"/>
      <sheetName val="M E N U"/>
      <sheetName val="Schedule I"/>
      <sheetName val="S D"/>
      <sheetName val="Rekap Sisa Bahan"/>
      <sheetName val="RAP Sisa"/>
      <sheetName val="EARNED VALUE"/>
      <sheetName val="Und. RptFHO"/>
      <sheetName val="Und. RptPHO"/>
      <sheetName val="R. RapatCCO"/>
      <sheetName val="Harsat Upah"/>
      <sheetName val="SASKIN"/>
      <sheetName val="Kontribusi"/>
      <sheetName val="Hafni"/>
      <sheetName val="REKAP A BESAR"/>
      <sheetName val="Rekapitulasi"/>
      <sheetName val="SATUAN UPAH"/>
      <sheetName val="Reg 4 Calculation (Dashboard)"/>
      <sheetName val="pks"/>
      <sheetName val="NOPAT_VDF"/>
      <sheetName val="Invested capital_VDF"/>
      <sheetName val="DCF_VDF"/>
      <sheetName val="WACC_VDF"/>
      <sheetName val="PV of Op Leases_VDF"/>
      <sheetName val="Income Statement_VDF"/>
      <sheetName val="A6A"/>
      <sheetName val="Opex Line items"/>
      <sheetName val="GJ-0214"/>
      <sheetName val="Tabel OT Karyawan 1-200"/>
      <sheetName val="An__Harga1"/>
      <sheetName val="VAT__2010_SPM"/>
      <sheetName val="FE-1771$_P1"/>
      <sheetName val="Daf_Harga1"/>
      <sheetName val="Rekap_Bill1"/>
      <sheetName val="Regulated_Tariff1"/>
      <sheetName val="REKAP_Package_I1"/>
      <sheetName val="Fill_this_out_first___1"/>
      <sheetName val="KKP_01_Audit"/>
      <sheetName val="Loan_Calculator"/>
      <sheetName val="Lam_Pool"/>
      <sheetName val="BUTYL_070303_"/>
      <sheetName val="Daftar_Data_Request"/>
      <sheetName val="DIV_6"/>
      <sheetName val="DIV_7"/>
      <sheetName val="RPP01_6"/>
      <sheetName val="RPP01_3"/>
      <sheetName val="Rekap_1"/>
      <sheetName val="7_공정표"/>
      <sheetName val="B_U_A"/>
      <sheetName val="Rekap_Biaya"/>
      <sheetName val="PROJ_CASH"/>
      <sheetName val="Cover_Sheet"/>
      <sheetName val="Exchange_Rates"/>
      <sheetName val="H1b_Accounts_Payable"/>
      <sheetName val="P1_Equity"/>
      <sheetName val="Sale-Leaseback_(2)"/>
      <sheetName val="Rot-Pack"/>
      <sheetName val="STEP"/>
      <sheetName val="rms"/>
      <sheetName val="BPR"/>
      <sheetName val="Cawang Tomang Cengkareng"/>
      <sheetName val="Jakarta Cikampek"/>
      <sheetName val="Citarum"/>
      <sheetName val="Padalarang Cileunyi"/>
      <sheetName val="Surabaya Gempol Mojokerto"/>
      <sheetName val="604b jadi"/>
      <sheetName val="schtng"/>
      <sheetName val="schbhn"/>
      <sheetName val="schalt"/>
      <sheetName val="UMM"/>
      <sheetName val="sawit RKAP"/>
      <sheetName val="LABA RUGI"/>
      <sheetName val="cov"/>
      <sheetName val="DIVISI 3"/>
      <sheetName val="rkap7"/>
      <sheetName val="Extra"/>
      <sheetName val="R - I"/>
      <sheetName val="ged"/>
      <sheetName val="Laterite"/>
      <sheetName val="Jalan"/>
      <sheetName val="B2 (Act by Mth) Total"/>
      <sheetName val="2003 Bgt"/>
      <sheetName val="HO"/>
      <sheetName val="NRC"/>
      <sheetName val="FE-1770-I"/>
      <sheetName val="FE-1770-II"/>
      <sheetName val="CH_rancangan"/>
      <sheetName val="AU_31_Komputer2"/>
      <sheetName val="rab_8(over_swt)2"/>
      <sheetName val="rab_8_2(swt)2"/>
      <sheetName val="bez_karpel3"/>
      <sheetName val="lembar_kerja3"/>
      <sheetName val="Kode_BKU2"/>
      <sheetName val="CA_Sheet2"/>
      <sheetName val="lp_kmmda2"/>
      <sheetName val="karet_RKAP2"/>
      <sheetName val="INDIRECT_DETAIL2"/>
      <sheetName val="FE-1770_P1"/>
      <sheetName val="Cashflow_Analysis"/>
      <sheetName val="Daftar_Risiko"/>
      <sheetName val="Grafik_(2)"/>
      <sheetName val="Rencana_Mitigasi"/>
      <sheetName val="Dampak_Residual"/>
      <sheetName val="BTR_&amp;_Kertas_kerja_ABI"/>
      <sheetName val="Residual_Exposure"/>
      <sheetName val="Cetak_RR"/>
      <sheetName val="Peta_Inherent"/>
      <sheetName val="Peta_Residual"/>
      <sheetName val="Rencana_Mitigasi_NPV"/>
      <sheetName val="Bastille"/>
      <sheetName val="MASTER BAHAN ME"/>
      <sheetName val="FINISHING"/>
      <sheetName val="Hrg.Sat"/>
      <sheetName val="Pro_Base"/>
      <sheetName val="RAB ME"/>
      <sheetName val="DATATRANS"/>
      <sheetName val="MASTER_BAHAN_ME"/>
      <sheetName val="J"/>
      <sheetName val="JAN 2001"/>
      <sheetName val="DAF-7"/>
      <sheetName val="REKAP BQ"/>
      <sheetName val="omzet"/>
      <sheetName val="HARGADASAR"/>
      <sheetName val="co_data"/>
      <sheetName val="Daf 1"/>
      <sheetName val="data-hujan"/>
      <sheetName val="EXTERNA?_x000"/>
      <sheetName val="Total OP"/>
      <sheetName val="PROD"/>
      <sheetName val="HRS"/>
      <sheetName val="DISTANCE"/>
      <sheetName val="EVENT"/>
      <sheetName val="ENGINE"/>
      <sheetName val="FUEL"/>
      <sheetName val="PERF"/>
      <sheetName val="ADMINISTRATOR"/>
      <sheetName val="RESUME"/>
      <sheetName val="SUMP"/>
      <sheetName val="WEATHER"/>
      <sheetName val="POMPA"/>
      <sheetName val="QTY"/>
      <sheetName val="DAILY"/>
      <sheetName val="PTY"/>
      <sheetName val="COAL"/>
      <sheetName val="WATERFALL"/>
      <sheetName val="ACHIEVMENT"/>
      <sheetName val="keb_alt"/>
      <sheetName val="cat"/>
      <sheetName val="SUB"/>
      <sheetName val="INVES"/>
      <sheetName val="RBP1"/>
      <sheetName val="keb_tng"/>
      <sheetName val="hardas dc"/>
      <sheetName val="RBP2"/>
      <sheetName val="keb_mat"/>
      <sheetName val="jadual"/>
      <sheetName val="ALAT1"/>
      <sheetName val="bank"/>
      <sheetName val="ALAT2"/>
      <sheetName val="BL"/>
      <sheetName val="MAT"/>
      <sheetName val="divI"/>
      <sheetName val="B3 Stone Pitching(m3con)"/>
      <sheetName val="BOQ"/>
      <sheetName val="raw"/>
      <sheetName val="Range"/>
      <sheetName val="S29"/>
      <sheetName val="anlisa"/>
      <sheetName val="P04-02"/>
      <sheetName val="PAK"/>
      <sheetName val="AllocatedEqtyAvg"/>
      <sheetName val="GL_Actual_Sheet"/>
      <sheetName val="Staff KVD Input Page"/>
      <sheetName val="Expense_Graphs"/>
      <sheetName val="FTE12mths"/>
      <sheetName val="HR_Sheet"/>
      <sheetName val="PersTrExp"/>
      <sheetName val="HR Trend Headcount"/>
      <sheetName val="HR Graphs Source"/>
      <sheetName val="HR1dayabs"/>
      <sheetName val="Morale Index"/>
      <sheetName val="Productivity"/>
      <sheetName val="Referrals"/>
      <sheetName val="VCM_Graphs_Data"/>
      <sheetName val="P04_02"/>
      <sheetName val="Grafik Bihunku"/>
      <sheetName val="PRODUKSI"/>
      <sheetName val="Insts"/>
      <sheetName val="HARGA ALAT"/>
      <sheetName val="TRF 150"/>
      <sheetName val="Segment"/>
      <sheetName val="2501"/>
      <sheetName val="Daftar Estate"/>
      <sheetName val="Depr"/>
      <sheetName val="grouping asset"/>
      <sheetName val="CPO (2)"/>
      <sheetName val="TBS (2)"/>
      <sheetName val="SLS_BGT"/>
      <sheetName val="RKP 1"/>
      <sheetName val="Source (Inflow)"/>
      <sheetName val="TW II"/>
      <sheetName val="TP_DATABASE"/>
      <sheetName val="DATA "/>
      <sheetName val="Isian"/>
      <sheetName val="struktur tdk dipakai"/>
      <sheetName val="OE"/>
      <sheetName val="Des"/>
      <sheetName val="EXTERNA_x005f_x005f_x005f_x0000__x005f_x005f_x0_2"/>
      <sheetName val="EXTERNA_x005f_x005f_x005f_x005f_x005f_x005f_x00_2"/>
      <sheetName val="EXTERNA_x005f_x005f_x005f_x005f_x005f_x005f_x00_3"/>
      <sheetName val="EXTERNA_x005f_x0000__x005f_x005f_x0_2"/>
      <sheetName val="EXTERNA_x005f_x005f_x005f_x005F_x00_2"/>
      <sheetName val="EXTERNA_x005f_x005f_x005f_x005F_x00_3"/>
      <sheetName val="S2-0 S2-1"/>
      <sheetName val="admin"/>
      <sheetName val="tabel nilai"/>
      <sheetName val="divisi sarana"/>
      <sheetName val="Data Base"/>
      <sheetName val="Kebutuhan Alat"/>
      <sheetName val="Kebutuhan Chem"/>
      <sheetName val="Kebutuhan Personil"/>
      <sheetName val="tarip"/>
      <sheetName val="HPP_20_"/>
      <sheetName val="trenprod2001"/>
      <sheetName val="Kin1TH"/>
      <sheetName val="Res142001"/>
      <sheetName val="GrafikProd"/>
      <sheetName val="Kin3BLN"/>
      <sheetName val="Kin1BLN"/>
      <sheetName val="Kin2TH"/>
      <sheetName val="Kin2BLN"/>
      <sheetName val="tbl"/>
      <sheetName val="Analisa Upah &amp; Bahan Plum"/>
      <sheetName val="Dec"/>
      <sheetName val="UshDeb00"/>
      <sheetName val="Investasi &amp; depresiasi"/>
      <sheetName val="Expense"/>
      <sheetName val="Assumptions"/>
      <sheetName val="Source HP"/>
      <sheetName val="Source HPI"/>
      <sheetName val="LabaRugi"/>
      <sheetName val="C&amp;E"/>
      <sheetName val="ProdSendiri"/>
      <sheetName val="K2-FA"/>
      <sheetName val="part"/>
      <sheetName val="hardas_dc"/>
      <sheetName val="B3_Stone_Pitching(m3con)"/>
      <sheetName val="Configuration"/>
      <sheetName val="Trading Statement"/>
      <sheetName val="add-tanah"/>
      <sheetName val="KODE"/>
      <sheetName val="Assumpt"/>
      <sheetName val="prg-old"/>
      <sheetName val="bhn_upah"/>
      <sheetName val="LPJ-Bm"/>
      <sheetName val="Reklpj"/>
      <sheetName val="Bang-Non-St"/>
      <sheetName val="Add-trans"/>
      <sheetName val="S-2"/>
      <sheetName val="Pro-Base"/>
      <sheetName val="S-1"/>
      <sheetName val="Add-rev"/>
      <sheetName val="Exist"/>
      <sheetName val="Tot"/>
      <sheetName val="Tranponder"/>
      <sheetName val="LPPH"/>
      <sheetName val="BBM"/>
      <sheetName val="Xplor pattern 08.05"/>
      <sheetName val="50+500-55+300"/>
      <sheetName val="auto-lock"/>
      <sheetName val="BoQ C4"/>
      <sheetName val="Acara Rapat"/>
      <sheetName val="Perm. Test"/>
      <sheetName val="3-DIV3"/>
      <sheetName val="pivot1"/>
      <sheetName val="GMA_KAG"/>
      <sheetName val="Setting"/>
      <sheetName val="Program"/>
      <sheetName val="tag1"/>
      <sheetName val="Board paper Official"/>
      <sheetName val="Page P&amp;L-Pre IFRS"/>
      <sheetName val="Graph-May'22"/>
      <sheetName val="NTC Graph"/>
      <sheetName val="Graphs-New"/>
      <sheetName val="2010 NCT 2.2"/>
      <sheetName val="store id"/>
      <sheetName val="All"/>
      <sheetName val="N201 provisions"/>
      <sheetName val="SHAREHOLDERS"/>
      <sheetName val="Comps"/>
      <sheetName val="WH-UA September"/>
      <sheetName val="Data Pembukaan_1.1"/>
      <sheetName val="DEPK2003"/>
      <sheetName val="REN2000"/>
      <sheetName val="Vehicle"/>
      <sheetName val="B1"/>
      <sheetName val="AR EXPORT"/>
      <sheetName val="Table_SAP"/>
      <sheetName val="Balance Sheets"/>
      <sheetName val="Input Areas"/>
      <sheetName val="UK GAAP Adjustments"/>
      <sheetName val="UK GAAP Purchase Price"/>
      <sheetName val="piut_sapr"/>
      <sheetName val="A.W. TIGER"/>
      <sheetName val="Order_Nov_w45"/>
      <sheetName val="Manual"/>
      <sheetName val="ACM0131(GT)"/>
      <sheetName val="RUPS"/>
      <sheetName val="spf_fnl"/>
      <sheetName val="spf-fnl"/>
      <sheetName val="Tran0104"/>
      <sheetName val="CH_FL_QUAR"/>
      <sheetName val="bybungafix"/>
      <sheetName val="smt"/>
      <sheetName val="angs-pet"/>
      <sheetName val="inter"/>
      <sheetName val="P'DPTAN &amp; BEBAN LAIN2"/>
      <sheetName val="AKTIVA TETAP"/>
      <sheetName val="PERINC'PASSIVA"/>
      <sheetName val="SUpply&amp;Equip"/>
      <sheetName val="Business Case Ver. 3"/>
      <sheetName val="wk prgs"/>
      <sheetName val="Data Client"/>
      <sheetName val="Labor"/>
      <sheetName val="W1"/>
      <sheetName val="Inv_SULSELRA"/>
      <sheetName val="DDL"/>
      <sheetName val="CPC"/>
      <sheetName val="DATABASE FMC TSEL"/>
      <sheetName val="NEGARA"/>
      <sheetName val="Farmer-Pond-Monodon"/>
      <sheetName val="Rekap Budget"/>
      <sheetName val="trf ns_04"/>
      <sheetName val="tarippasif_wanto"/>
      <sheetName val="Tunda56=1_dodo"/>
      <sheetName val="PDPKonstruksi"/>
      <sheetName val="NerSubsis"/>
      <sheetName val="GABLUARJAWA1 (2)"/>
      <sheetName val="OH Alocation"/>
      <sheetName val="Bank Recon"/>
      <sheetName val="Test Accrue"/>
      <sheetName val="TOP - PLN Konsol"/>
      <sheetName val="PkRp"/>
      <sheetName val="Akun"/>
      <sheetName val="Penjualan"/>
      <sheetName val="PS&amp;Susut TL"/>
      <sheetName val="SewaBeli"/>
      <sheetName val="Transfer"/>
      <sheetName val="PK HJ  HP"/>
      <sheetName val="Assumption &amp; Result"/>
      <sheetName val="tr-28202"/>
      <sheetName val="WBS1"/>
      <sheetName val="tb-mar"/>
      <sheetName val="ACP_QUERY"/>
      <sheetName val="ACR_QUERY"/>
      <sheetName val="PURCHASE_INVOICES"/>
      <sheetName val="CMG_TRANSACTIONS"/>
      <sheetName val="SALES_INVOICES"/>
      <sheetName val="BANK_MASTER"/>
      <sheetName val="SUPPL_MASTER"/>
      <sheetName val="CMG_JV"/>
      <sheetName val="CUST_MASTER"/>
      <sheetName val="GEN_JOURNAL"/>
      <sheetName val="GEN_JV"/>
      <sheetName val="GEN_LEDGER"/>
      <sheetName val="TRADE_INV_TRANS"/>
      <sheetName val="INV_JV"/>
      <sheetName val="ITEM_MASTER"/>
      <sheetName val="PUR_JV"/>
      <sheetName val="SLS_JV"/>
      <sheetName val="TB_QUERY"/>
      <sheetName val="TRIAL_BALANCE"/>
      <sheetName val="Paramétrage"/>
      <sheetName val="63_Swap"/>
      <sheetName val="P2.220 Retire-PBO"/>
      <sheetName val="IMD10"/>
      <sheetName val="mill"/>
      <sheetName val="sbe"/>
      <sheetName val="are"/>
      <sheetName val="mm.page-2.x"/>
      <sheetName val="HARGA CONSUMABLE"/>
      <sheetName val="remain"/>
      <sheetName val="Sat~Bahu"/>
      <sheetName val="hal10"/>
      <sheetName val="ANALISA SATUAN"/>
      <sheetName val="Movement p2"/>
      <sheetName val="FA_TP99"/>
      <sheetName val="Building"/>
      <sheetName val="Machinery"/>
      <sheetName val="Office Equipment1"/>
      <sheetName val="WS TM"/>
      <sheetName val="For Segmen"/>
      <sheetName val="CAJE"/>
      <sheetName val="AJE"/>
      <sheetName val="RJE"/>
      <sheetName val="EJE"/>
      <sheetName val="Perhitungan Pajak Badan"/>
      <sheetName val="Tax Hitung"/>
      <sheetName val="Pengakuan RL"/>
      <sheetName val="Equity"/>
      <sheetName val="WA Shares"/>
      <sheetName val="PSAK 24"/>
      <sheetName val="Ratio"/>
      <sheetName val="PC-1"/>
      <sheetName val="Maintenance"/>
      <sheetName val="Zarnesti"/>
      <sheetName val="Achiz.-08"/>
      <sheetName val="Trsf.-08"/>
      <sheetName val="P&amp;L Review"/>
      <sheetName val="DICTS"/>
      <sheetName val="Base_serv"/>
      <sheetName val="TR"/>
      <sheetName val="Dics"/>
      <sheetName val="IPT inputs"/>
      <sheetName val="IPV inputs"/>
      <sheetName val="HLookUP"/>
      <sheetName val="PSGL_20170001"/>
      <sheetName val="EXTERNA_x005f_x005f_x005f_x005f_x005f_x005f_x00_4"/>
      <sheetName val="EXTERNA_x005f_x005f_x005f_x005f_x005f_x005f_x00_5"/>
      <sheetName val="EXTERNA_x005f_x005f_x005f_x005f_x005f_x005f_x00_6"/>
      <sheetName val="EXTERNA_x005f_x005f_x005f_x005f_x005f_x005f_x00_7"/>
      <sheetName val="PercenDiv"/>
      <sheetName val="EXTERNA_x005f_x005f_x005f_x0000__x005f_x005f_x0_3"/>
      <sheetName val="EXTERNA_x005f_x005f_x005f_x005f_x005f_x005f_x00_8"/>
      <sheetName val="EXTERNA_x005f_x005f_x005f_x005f_x005f_x005f_x00_9"/>
      <sheetName val="EXTERNA_x005f_x005f_x005f_x005f_x005f_x005f_x0_10"/>
      <sheetName val="EXTERNA_x005f_x005f_x005f_x005f_x005f_x005f_x0_11"/>
      <sheetName val="EXTERNA_x005f_x005f_x005f_x005f_x005f_x005f_x0_12"/>
      <sheetName val="EXTERNA_x005f_x005f_x005f_x005f_x005f_x005f_x0_13"/>
      <sheetName val="DbKtr"/>
      <sheetName val="OH Rates"/>
      <sheetName val="THINS"/>
      <sheetName val="pERIOD5"/>
      <sheetName val="Item_Data"/>
      <sheetName val="LMI_CUBE-F18_SKU_(CY)"/>
      <sheetName val="LMI_CUBE-F18_SKU_(FY)"/>
      <sheetName val="LSI_CUBE-F18_SKU_(CY)"/>
      <sheetName val="LSI_CUBE-F18_Sub_Brand_(FY)"/>
      <sheetName val="LSI_CUBE-F19_Sub_Brand_(FY)"/>
      <sheetName val="DFI_CUBE-F18_SKU_(CY)"/>
      <sheetName val="DFI_CUBE-F18_SKU_(FY)"/>
      <sheetName val="DFI_CUBE-F18_BY_Area"/>
      <sheetName val="Kamus_(2)"/>
      <sheetName val="all_acc"/>
      <sheetName val="inc_retur_(2)"/>
      <sheetName val="inc_retur"/>
      <sheetName val="exc_retur"/>
      <sheetName val="procedure_F19_P1"/>
      <sheetName val="Sheet2_(2)"/>
      <sheetName val="BS_Account"/>
      <sheetName val="P&amp;L_Account"/>
      <sheetName val="Profit_Centre"/>
      <sheetName val="Vendor_Code"/>
      <sheetName val="OH_Rates"/>
      <sheetName val="M2 05 trend"/>
      <sheetName val="PM-BS"/>
      <sheetName val="Configurator"/>
      <sheetName val="PABRIK (2)"/>
      <sheetName val="PO"/>
      <sheetName val="PRODUCTION_REPORTS12"/>
      <sheetName val="ANIMATION_ONLY12"/>
      <sheetName val="ANIMATION_COST_FORECAST12"/>
      <sheetName val="EXTERNAL_ANIMATION12"/>
      <sheetName val="Stock_Report5"/>
      <sheetName val="lookup_table5"/>
      <sheetName val="NB_UNIT35"/>
      <sheetName val="SCH_35"/>
      <sheetName val="List_Pilihan5"/>
      <sheetName val="Iss_Jrn5"/>
      <sheetName val="Coll_Bulan_ini5"/>
      <sheetName val="Coll_Bulan_lalu5"/>
      <sheetName val="Renc_Bulan_ini5"/>
      <sheetName val="Renc_Bulan_Lalu5"/>
      <sheetName val="Form_41"/>
      <sheetName val="AP_Trade1"/>
      <sheetName val="Indirects_MBR1"/>
      <sheetName val="Nrj_Ljr1"/>
      <sheetName val="fr_BS1"/>
      <sheetName val="Exc__Rate1"/>
      <sheetName val="Deferred_Revenue_Nov_041"/>
      <sheetName val="TAX_COM1"/>
      <sheetName val="Noodles_(assumptions)1"/>
      <sheetName val="ADJ_AUG12,20101"/>
      <sheetName val="Excess_Calc1"/>
      <sheetName val="Doc_Type_Ref1"/>
      <sheetName val="List_as_of_Dec161"/>
      <sheetName val="Operation_01-02071"/>
      <sheetName val="5313_Test_Allowance_(aging)1"/>
      <sheetName val="1_Rollfwd1"/>
      <sheetName val="Pain_data1"/>
      <sheetName val="Recon__Template1"/>
      <sheetName val="Inc_Stmt_Sum1"/>
      <sheetName val="Corp_04_DeprAmort_Recap1"/>
      <sheetName val="Total_NA_Food1"/>
      <sheetName val="QTIL_-BSHEET1"/>
      <sheetName val="Developer_rev_991"/>
      <sheetName val="_Ad_Sales__exp1"/>
      <sheetName val="Bus_Dev1"/>
      <sheetName val="corp__exp1"/>
      <sheetName val="LBO_--&gt;1"/>
      <sheetName val="A_02-I1"/>
      <sheetName val="Bi_kirim1"/>
      <sheetName val="Sheet_21"/>
      <sheetName val="Adf_par_resp1"/>
      <sheetName val="Benefit_Design1"/>
      <sheetName val="Experience_Rating1"/>
      <sheetName val="std_ip_tanpa_abnormal1"/>
      <sheetName val="Summary_Peserta1"/>
      <sheetName val="Data_Peserta1"/>
      <sheetName val="Recap_OT1"/>
      <sheetName val="Proses_Gaji1"/>
      <sheetName val="Premi_Iuran1"/>
      <sheetName val="int-h_wk11"/>
      <sheetName val="REKAP_BKK_BANK1"/>
      <sheetName val="Claim_Ratio_1"/>
      <sheetName val="form_Rnwl1"/>
      <sheetName val="Bangunan_Utama_B1"/>
      <sheetName val="Subs_Details_20041"/>
      <sheetName val="Mt_Ex-CurWk1"/>
      <sheetName val="Fuel_&amp;_Safety_-_21"/>
      <sheetName val="SCHEDULE_9A(1_of_3)1"/>
      <sheetName val="DAIHATSU_1"/>
      <sheetName val="Acsys_Key1"/>
      <sheetName val="CM_Genset_21"/>
      <sheetName val="Spare_Part1"/>
      <sheetName val="SMPS_Relocation1"/>
      <sheetName val="DG_Cranking_System1"/>
      <sheetName val="Site_Support_and_Maintenance1"/>
      <sheetName val="Currency_Spot_Rates1"/>
      <sheetName val="TARGET_FINAL1"/>
      <sheetName val="Account_Codes_1"/>
      <sheetName val="Analis_Kusen_okk1"/>
      <sheetName val="Consolidated_Forecast"/>
      <sheetName val="Consolidated_Actual"/>
      <sheetName val="COGS_TP"/>
      <sheetName val="Sales_GA"/>
      <sheetName val="INCOME_RATNA1"/>
      <sheetName val="Detail_WPL_Jan1"/>
      <sheetName val="Telephone_&amp;_KSO_Rev1"/>
      <sheetName val="List_PT1"/>
      <sheetName val="ABK_04_AWALR+CO+TAB_RUPS1"/>
      <sheetName val="06__CC2706161"/>
      <sheetName val="Organization_Chart1"/>
      <sheetName val="FA_sd_APRIL_071"/>
      <sheetName val="3___Balance_Sheet1"/>
      <sheetName val="_16___Final_Budgets1"/>
      <sheetName val="4___Income_Statement1"/>
      <sheetName val="5___Cash_Flow1"/>
      <sheetName val="DEPN_20011"/>
      <sheetName val="rab_lt_2_bo1"/>
      <sheetName val="Analisa_SNI_STANDART_1"/>
      <sheetName val="Jun_981"/>
      <sheetName val="PV_Demand_Forecast_Breakdown1"/>
      <sheetName val="NB_BOY1"/>
      <sheetName val="NB_ISI1"/>
      <sheetName val="Grand_Sum_BT2"/>
      <sheetName val="Galian_batu1"/>
      <sheetName val="PENJ_NERACA1"/>
      <sheetName val="CASH_FLOW1"/>
      <sheetName val="BSHO_Report1"/>
      <sheetName val="Check_Sheet1"/>
      <sheetName val="PLHO_Report1"/>
      <sheetName val="Bal_Sheet"/>
      <sheetName val="Prod_Plan"/>
      <sheetName val="F_8_2_Details_Premix1"/>
      <sheetName val="Rekons_PPh_21"/>
      <sheetName val="Read_Me"/>
      <sheetName val="BEFORE_ALLOCATION"/>
      <sheetName val="Lap_des1"/>
      <sheetName val="vol_rimba1"/>
      <sheetName val="Data_TBM_I&amp;II1"/>
      <sheetName val="Kantor_Pusat1"/>
      <sheetName val="L12_Akt_Tetap1"/>
      <sheetName val="PC_Account"/>
      <sheetName val="trf_multiple_dnrks"/>
      <sheetName val="trf_multiple"/>
      <sheetName val="trfakt_sgl"/>
      <sheetName val="Comp_equip"/>
      <sheetName val="A_4_3"/>
      <sheetName val="A_4_2"/>
      <sheetName val="K_2_1"/>
      <sheetName val="Proposed_2003_Salary_Range"/>
      <sheetName val="#16_-_Final_Budgets"/>
      <sheetName val="Exch__rate_calc_"/>
      <sheetName val="loan_1"/>
      <sheetName val="Monthly_RecapLO"/>
      <sheetName val="General_Assumption"/>
      <sheetName val="C_FA_HO1"/>
      <sheetName val="C_ICL_HO1"/>
      <sheetName val="P_BS1"/>
      <sheetName val="C_CS_HO1"/>
      <sheetName val="C_WC1"/>
      <sheetName val="A_Tax_HO1"/>
      <sheetName val="A_TS1"/>
      <sheetName val="P_IS1"/>
      <sheetName val="C_Tax_HO1"/>
      <sheetName val="C_OBSI_HO1"/>
      <sheetName val="CALCULATE_INDEKS1"/>
      <sheetName val="P_CF1"/>
      <sheetName val="A_FA_HO1"/>
      <sheetName val="A_CAPEX_HO1"/>
      <sheetName val="A_CS_HO1"/>
      <sheetName val="A_WC_HO1"/>
      <sheetName val="A_INV_HO1"/>
      <sheetName val="C_INV_HO_TO1"/>
      <sheetName val="A_ICL_HO1"/>
      <sheetName val="P_IS_P1"/>
      <sheetName val="A_OBSI_HO1"/>
      <sheetName val="Base_Info"/>
      <sheetName val="Data_Sheet1"/>
      <sheetName val="Tab_DPA1"/>
      <sheetName val="RumusTB_1_bln1"/>
      <sheetName val="DATA_LTW"/>
      <sheetName val="upah-bahan_satker_revisi"/>
      <sheetName val="Comparable_Firms"/>
      <sheetName val="addl_cost1"/>
      <sheetName val="pivot_table"/>
      <sheetName val="Plc_Staff_Recharges"/>
      <sheetName val="Grafik_Trial"/>
      <sheetName val="instalasi_disp_Mei"/>
      <sheetName val="Income_Statements"/>
      <sheetName val="Results_from_Nov_98"/>
      <sheetName val="unit_31"/>
      <sheetName val="Key_Stats"/>
      <sheetName val="EU_Comps"/>
      <sheetName val="17000100_roll_"/>
      <sheetName val="JJCP_AP_TRADE"/>
      <sheetName val="TB_07_08"/>
      <sheetName val="Posting_control"/>
      <sheetName val="CF_Rp-USD1"/>
      <sheetName val="rab_28_2011_krt"/>
      <sheetName val="rab_24_2011_krt"/>
      <sheetName val="rab_331"/>
      <sheetName val="SO_Incentive_Graphs1"/>
      <sheetName val="SO_Incentive_Graphs2"/>
      <sheetName val="SO_Incentive_Graphs3"/>
      <sheetName val="SO_Incentive_Graphs4"/>
      <sheetName val="Karen_SAP"/>
      <sheetName val="May_03"/>
      <sheetName val="L2_Manpower"/>
      <sheetName val="L2_Summary"/>
      <sheetName val="Adjusted_Beta"/>
      <sheetName val="Risk-Free_Rate"/>
      <sheetName val="Time_Estimates"/>
      <sheetName val="BS_final"/>
      <sheetName val="Asumption_Board"/>
      <sheetName val="Daily_Report"/>
      <sheetName val="F18_EO_Rates"/>
      <sheetName val="F19-F21_Inflation"/>
      <sheetName val="rincian_UMUR"/>
      <sheetName val="key_indic_"/>
      <sheetName val="Fixed_Assets_-_CDN$_-_Detail"/>
      <sheetName val="Curah_hujan"/>
      <sheetName val="Project_Data"/>
      <sheetName val="Outdoorization_2021"/>
      <sheetName val="Payment_Request_Form"/>
      <sheetName val="Oct_03"/>
      <sheetName val="MLS_2_Add_BP"/>
      <sheetName val="Sandi_laba_rugi"/>
      <sheetName val="MIFA_Description"/>
      <sheetName val="Active_GL"/>
      <sheetName val="PL_(MONTHLY)"/>
      <sheetName val="t_b"/>
      <sheetName val="period_5"/>
      <sheetName val="Basic_Info"/>
      <sheetName val="HT_Nat"/>
      <sheetName val="HT_GT"/>
      <sheetName val="HT_MTDB"/>
      <sheetName val="HT_MTDS"/>
      <sheetName val="HT_E-retail"/>
      <sheetName val="HT_Nat_Channel"/>
      <sheetName val="HT_Nat_Channel_SCP_B20_to_LE19"/>
      <sheetName val="COGS_B2020_vs_B2019_compare"/>
      <sheetName val="COGS_SKU_HT_B2020"/>
      <sheetName val="Listing_by_SKU"/>
      <sheetName val="Summary_&amp;_Phasing_MT"/>
      <sheetName val="Details_GT"/>
      <sheetName val="COGS_B2019_(box)_sum"/>
      <sheetName val="Master_Data_Correction"/>
      <sheetName val="Summary_by_Channel"/>
      <sheetName val="Stock_Projection"/>
      <sheetName val="Other_Valid_Codes"/>
      <sheetName val="R_Lead"/>
      <sheetName val="Tiff-Maried_Gold_&amp;_Choki_S_P"/>
      <sheetName val="MT_Tiff-done"/>
      <sheetName val="East_Coast-done"/>
      <sheetName val="Master_Edit"/>
      <sheetName val="Grinding_by_Month"/>
      <sheetName val="rincian_per_proyek"/>
      <sheetName val="Grinding_by_Quarter"/>
      <sheetName val="Original_Sheet"/>
      <sheetName val="form_evaluasi"/>
      <sheetName val="DETAIL_POS_123"/>
      <sheetName val="Achiz_-08"/>
      <sheetName val="Trsf_-08"/>
      <sheetName val="P&amp;L_Review"/>
      <sheetName val="IPT_inputs"/>
      <sheetName val="IPV_inputs"/>
      <sheetName val="Opex_Line_items"/>
      <sheetName val="KAS_$"/>
      <sheetName val="ACT_PROD"/>
      <sheetName val="PLAN_PROD"/>
      <sheetName val="AnalisaSIPIL_RIIL_RAP"/>
      <sheetName val="Total_OP"/>
      <sheetName val="1195 B1"/>
      <sheetName val="Module2"/>
      <sheetName val="On Time"/>
      <sheetName val="Identitas"/>
      <sheetName val="Curup"/>
      <sheetName val="Prabu"/>
      <sheetName val="PESANTREN"/>
      <sheetName val="G"/>
      <sheetName val="대비표"/>
      <sheetName val="TJ1Q47"/>
      <sheetName val="reference"/>
      <sheetName val="XY"/>
      <sheetName val="Harsat_marina"/>
      <sheetName val="ALEK"/>
      <sheetName val="Balance Sheet"/>
      <sheetName val="21. Estimate Fixed FC"/>
      <sheetName val="10. Production"/>
      <sheetName val="6-AGREGAT"/>
      <sheetName val="Two Step Revenue Testing Master"/>
      <sheetName val="Input sheet"/>
      <sheetName val="TBM-"/>
      <sheetName val="ProArcInfo"/>
      <sheetName val="Magazzino"/>
      <sheetName val="Har Sat"/>
      <sheetName val="Rekap"/>
      <sheetName val="UBA"/>
      <sheetName val="ANAL.BOW"/>
      <sheetName val="Hsatuan-OK"/>
      <sheetName val="Data 2"/>
      <sheetName val="REFF WO"/>
      <sheetName val="DATA PV"/>
      <sheetName val="DAR"/>
      <sheetName val="Mar2021"/>
      <sheetName val="TAB 1"/>
      <sheetName val="2.Control Sheet"/>
      <sheetName val="Settings Key"/>
      <sheetName val="4.2 Top Segments"/>
      <sheetName val="Backup Info"/>
      <sheetName val="Region Inputs"/>
      <sheetName val="WOR LOOKUP TABLE"/>
      <sheetName val="Drop Down"/>
      <sheetName val="Region Support"/>
      <sheetName val="Report Support"/>
      <sheetName val="Dropdowns"/>
      <sheetName val="Dropdowns2"/>
      <sheetName val="Drop Downs"/>
      <sheetName val="Drop Down List"/>
      <sheetName val="look_up_accounts"/>
      <sheetName val="look_up_labor_rate"/>
      <sheetName val="look_up_OH_dept"/>
      <sheetName val="NEW ACT Codes"/>
      <sheetName val="Labor Plan Rates (SV)"/>
      <sheetName val="Cost Elements (SV)"/>
      <sheetName val="Cost Centers (SV)"/>
      <sheetName val="FTEs (SV)"/>
      <sheetName val="Labor Upload"/>
      <sheetName val="WBS (SV)"/>
      <sheetName val="Wrap Rates (SV)"/>
      <sheetName val="Compare Wrap Rates (SV)"/>
      <sheetName val="Third Party Direct Costs"/>
      <sheetName val="ACTUAL - Back Office AUG"/>
      <sheetName val="SEPT. 2019"/>
      <sheetName val="OCT. 2019"/>
      <sheetName val="NOV. 2019"/>
      <sheetName val="DEC. 2019"/>
      <sheetName val="JAN. 2020"/>
      <sheetName val="FEB. 2020"/>
      <sheetName val="MAR. 2020"/>
      <sheetName val="APRIL 2020"/>
      <sheetName val="MAY 2020"/>
      <sheetName val="JUNE 2020"/>
      <sheetName val="Job Codes"/>
      <sheetName val="May 16-Head Count"/>
      <sheetName val="Übersicht Märkte"/>
      <sheetName val="Notations"/>
      <sheetName val="Steuerung"/>
      <sheetName val="Actuals"/>
      <sheetName val="GL Acct Groups"/>
      <sheetName val="Data link"/>
      <sheetName val="Pre-IMPORT"/>
      <sheetName val="FY2017 Sales Plan"/>
      <sheetName val="1601Period 4 Fy98"/>
      <sheetName val="16XX Rollforward"/>
      <sheetName val="CN08 Detail"/>
      <sheetName val="CWJ Detail"/>
      <sheetName val="DOH"/>
      <sheetName val="MERGER"/>
      <sheetName val="CAF 2005"/>
      <sheetName val="8LT 12"/>
      <sheetName val="pak1dan4"/>
      <sheetName val="BAG-2"/>
      <sheetName val="bni-119c"/>
      <sheetName val="Std-Industri"/>
      <sheetName val="Sheet1002"/>
      <sheetName val="RKP Alat Ktr"/>
      <sheetName val="TB98,oct99&amp;sap99-WPL"/>
      <sheetName val="#REF!"/>
      <sheetName val="Piutang P"/>
      <sheetName val="ES_PARK"/>
      <sheetName val="WASTE BY MATERIAL"/>
      <sheetName val="Balsht Input"/>
      <sheetName val="P&amp;L Input"/>
      <sheetName val="Sales Rpt"/>
      <sheetName val="Check Errors"/>
      <sheetName val="Outlook"/>
      <sheetName val="CAPSUM"/>
      <sheetName val="Achiz_-081"/>
      <sheetName val="Trsf_-081"/>
      <sheetName val="P&amp;L_Review1"/>
      <sheetName val="IPT_inputs1"/>
      <sheetName val="IPV_inputs1"/>
      <sheetName val="Achiz_-082"/>
      <sheetName val="Trsf_-082"/>
      <sheetName val="P&amp;L_Review2"/>
      <sheetName val="IPT_inputs2"/>
      <sheetName val="IPV_inputs2"/>
      <sheetName val="TB_GAAP"/>
      <sheetName val="Drop_Down_List1"/>
      <sheetName val="Drop_Down_List"/>
      <sheetName val="Assumptions and Inputs"/>
      <sheetName val="Product A"/>
      <sheetName val="Product B"/>
      <sheetName val="Product C"/>
      <sheetName val="Product D"/>
      <sheetName val="Product E"/>
      <sheetName val="Product F"/>
      <sheetName val="Product G"/>
      <sheetName val="Product H"/>
      <sheetName val="Product I"/>
      <sheetName val="Product J"/>
      <sheetName val="Forecast Driv -#2"/>
      <sheetName val="Summary of Values"/>
      <sheetName val="WACC and WARA"/>
      <sheetName val="אגן"/>
      <sheetName val="Data Payslip Emp Details"/>
      <sheetName val="Print Employee Payslip"/>
      <sheetName val="Full Information"/>
      <sheetName val="OT"/>
      <sheetName val="Expat Daily Allowance"/>
      <sheetName val="Bank Payment Transfer"/>
      <sheetName val="Salary Tax information"/>
      <sheetName val="Final Tem_Employee Slip"/>
      <sheetName val="Salary Tax info for FIN"/>
      <sheetName val="FCST  00 to DB"/>
      <sheetName val="WIP"/>
      <sheetName val="Gaikindo Report"/>
      <sheetName val="Parameter RR"/>
      <sheetName val="TON  per Jam"/>
      <sheetName val="PSAK 73 KIE KAD Juni"/>
      <sheetName val="A_Global"/>
      <sheetName val="Returns"/>
      <sheetName val="Tc"/>
      <sheetName val="MKT-GA EXP"/>
      <sheetName val="Trial balance"/>
      <sheetName val="DATI1"/>
      <sheetName val="EXTERNA__x000"/>
      <sheetName val="汎用設備調達日程表"/>
      <sheetName val="CAUDIT"/>
      <sheetName val="dfmea"/>
      <sheetName val="Output"/>
      <sheetName val="8-bin"/>
      <sheetName val="Forex Anal"/>
      <sheetName val="Plant Data"/>
      <sheetName val="Changes"/>
      <sheetName val="OEM-Engr-Product Data"/>
      <sheetName val="WEIGHT"/>
      <sheetName val="Focused Factory"/>
      <sheetName val="Volume &amp; Assumptions"/>
      <sheetName val="Purchasing"/>
      <sheetName val="F&amp;T &amp; Labour"/>
      <sheetName val=" DN8 P#2 부품검사 Check Sheet (DN8)"/>
      <sheetName val="현재"/>
      <sheetName val="주행"/>
      <sheetName val="외주현황.wq1"/>
      <sheetName val="Mapping Tool"/>
      <sheetName val="Vietnam - Detailed"/>
      <sheetName val="IRR Valuation"/>
      <sheetName val="IRR_Valuation"/>
      <sheetName val="Reference List"/>
      <sheetName val="data (2)"/>
      <sheetName val="Fr Jonny-2018 v 12.04.19"/>
      <sheetName val="PPh22"/>
      <sheetName val="PPh 21,25, 23, 4(2)"/>
      <sheetName val="P.P.N"/>
      <sheetName val="Labarugi Compar"/>
      <sheetName val="PMDN MS"/>
      <sheetName val="AGUSTUS05"/>
      <sheetName val="SC_FIELD"/>
      <sheetName val="FIELD"/>
      <sheetName val="F1771-V"/>
      <sheetName val="IS GMM"/>
      <sheetName val="BAB03-VL"/>
      <sheetName val="01-Asumsi - p &amp; i"/>
      <sheetName val="02-Ikhtisar Keuangan-1&amp;2 - i"/>
      <sheetName val="Daftar Hutang"/>
      <sheetName val="Sch15_1stQ04"/>
      <sheetName val="AA_1_1_BNI"/>
      <sheetName val="divisi_sarana"/>
      <sheetName val="Kebutuhan_Alat"/>
      <sheetName val="Kebutuhan_Chem"/>
      <sheetName val="Kebutuhan_Personil"/>
      <sheetName val="BRLIST"/>
      <sheetName val="PNL"/>
      <sheetName val="Branch List"/>
      <sheetName val="Unit List"/>
      <sheetName val="ADR"/>
      <sheetName val="STOCK_AWAL"/>
      <sheetName val="Biaya-Inv"/>
      <sheetName val="BALANCE"/>
      <sheetName val="DATA_feed"/>
      <sheetName val="CH_FL_YEAR"/>
      <sheetName val="INC_FUN_FIN"/>
      <sheetName val="Kap(17)"/>
      <sheetName val="Pk prod"/>
      <sheetName val="PBG_2"/>
      <sheetName val="Calendar"/>
      <sheetName val="project"/>
      <sheetName val="others"/>
      <sheetName val="depts"/>
      <sheetName val="groups"/>
      <sheetName val="detail2"/>
      <sheetName val="convert to months"/>
      <sheetName val="Asumsi by Own"/>
      <sheetName val="fiscal depr(E)"/>
      <sheetName val="LP_01_4"/>
      <sheetName val="Worksheet"/>
      <sheetName val="チューブ仕様"/>
      <sheetName val="mu"/>
      <sheetName val="Organik"/>
      <sheetName val="LR_LAIN2"/>
      <sheetName val="GKP"/>
      <sheetName val="GAEYO"/>
      <sheetName val="HB "/>
      <sheetName val="BQMPALOC"/>
      <sheetName val="共通事項"/>
      <sheetName val="SPT vs PHI"/>
      <sheetName val="Analisa Harsat CCO Intern"/>
      <sheetName val="AnHarSat Real Saat Ini"/>
      <sheetName val="AnHarSat Real Sd Saat Lalu"/>
      <sheetName val="Cost Control Utk Perub RAP"/>
      <sheetName val="Daftar Alat"/>
      <sheetName val="Sel Dev"/>
      <sheetName val="Laporan Harian"/>
      <sheetName val="Hrn I"/>
      <sheetName val="Hrn II"/>
      <sheetName val="Hrn III"/>
      <sheetName val="Evaluasi CCO"/>
      <sheetName val="Hsl Evaluasi"/>
      <sheetName val="Lap Pek 2"/>
      <sheetName val="Lap Pek 1"/>
      <sheetName val="Permhnan CCO2"/>
      <sheetName val="Persetujuan CCO2"/>
      <sheetName val="Schedule Ekstern"/>
      <sheetName val="Permhnan UM"/>
      <sheetName val="An-Ars"/>
      <sheetName val=" An-Str "/>
      <sheetName val="찍기"/>
      <sheetName val="DAFTAR ISI"/>
      <sheetName val="예산M4A"/>
      <sheetName val="kjkt1418"/>
      <sheetName val="Ｃ実績①"/>
      <sheetName val="PLINK1"/>
      <sheetName val="N201_provisions"/>
      <sheetName val="SH. in 4 - BDPLC"/>
      <sheetName val="FS BM (ALL)"/>
      <sheetName val="XLR_NoRangeSheet"/>
      <sheetName val="Anls"/>
      <sheetName val="cal-foamglass"/>
      <sheetName val="Rekap Petty cash"/>
      <sheetName val="Actuals no OEM"/>
      <sheetName val="ISI DISINI"/>
      <sheetName val="ACC_NUM"/>
      <sheetName val="data_val"/>
      <sheetName val="대차대조표"/>
      <sheetName val="FAB별"/>
      <sheetName val="Label"/>
      <sheetName val="PL_ ALL"/>
      <sheetName val="FS10N"/>
      <sheetName val="BAHAN BAKU"/>
      <sheetName val="MCSI"/>
      <sheetName val="LIST Cost center"/>
      <sheetName val="LIST GL"/>
      <sheetName val="BD"/>
      <sheetName val="TGT KENDIS"/>
      <sheetName val="BUA"/>
      <sheetName val="BP"/>
      <sheetName val="KE30"/>
      <sheetName val="ZFIRPT065"/>
      <sheetName val="COST ELEMEN"/>
      <sheetName val="INDUSTRI"/>
      <sheetName val="KEND. CABANG"/>
      <sheetName val="REKAP_RL"/>
      <sheetName val="KEY LAPORAN"/>
      <sheetName val="LIST GL DIVISI"/>
      <sheetName val="LIST KAPASITAS"/>
      <sheetName val="LIST MATERIAL PROD"/>
      <sheetName val="LIST RELASI ELIM GM"/>
      <sheetName val="LIST REL SEKTOR"/>
      <sheetName val="PL SAP TGT 2021"/>
      <sheetName val="COPA 2019"/>
      <sheetName val="Factors"/>
      <sheetName val="Q_all_fixphone_bukopin_jan_mar_"/>
      <sheetName val="Q_all_flexi_bukopin_jan_mar_06"/>
      <sheetName val="Q_cdr_bukopin_jan_06"/>
      <sheetName val="Q_cdr_bukopin_mar_06"/>
      <sheetName val="Q_cdr_bukopin_peb_06"/>
      <sheetName val="Q_fixphone_luar_jkt_bukopin_jan"/>
      <sheetName val="Q_fixphone_luar_jkt_bukopin_peb"/>
      <sheetName val="Q_flexi_luar_jkt_bukopin_jan_06"/>
      <sheetName val="Q_flexi_luar_jkt_bukopin_mar_06"/>
      <sheetName val="cashflow-in-vs-out "/>
      <sheetName val="KPI-Data Entry"/>
      <sheetName val="Cost Production"/>
      <sheetName val="UNITPRICE"/>
      <sheetName val="frek 3.3"/>
      <sheetName val="Validations"/>
      <sheetName val="MCD"/>
      <sheetName val="Sumary"/>
      <sheetName val="TAGIHAN"/>
      <sheetName val="Sheet959"/>
      <sheetName val="DAT-2"/>
      <sheetName val="Ass"/>
      <sheetName val="PL_INPUT"/>
      <sheetName val="DEBTORS ANALYSIS"/>
      <sheetName val="FIA"/>
      <sheetName val="MEytd"/>
      <sheetName val="PAK_03"/>
      <sheetName val="Amortization Table"/>
      <sheetName val="cash flow rincian"/>
      <sheetName val="OFFEREXT"/>
      <sheetName val="PAK4"/>
      <sheetName val="pak.03"/>
      <sheetName val="CF_00"/>
      <sheetName val="STR"/>
      <sheetName val="Bill of Qty MEP"/>
      <sheetName val="CHECKLIS"/>
      <sheetName val="CF-00"/>
      <sheetName val="US indoor vs macro outdoor"/>
      <sheetName val="ana-str"/>
      <sheetName val="STOK"/>
      <sheetName val="Tabel PErkiraan"/>
      <sheetName val="Prepaid"/>
      <sheetName val="Expenses"/>
      <sheetName val="WCL-6Bln"/>
      <sheetName val="Manual JE"/>
      <sheetName val="4-Basic Price"/>
      <sheetName val="FORM 3A"/>
      <sheetName val="After LoI"/>
      <sheetName val="Irregular Income"/>
      <sheetName val="Submission Form"/>
      <sheetName val="As"/>
      <sheetName val="LK-gate"/>
      <sheetName val="Add_trans"/>
      <sheetName val="S_2"/>
      <sheetName val="S_1"/>
      <sheetName val="Add_rev"/>
      <sheetName val="ANALISA ALAT BERAT"/>
      <sheetName val="Depreciation  schedule"/>
      <sheetName val="SEX"/>
      <sheetName val="Kuantitas &amp; Harga"/>
      <sheetName val="Ana"/>
      <sheetName val="Daftar"/>
      <sheetName val="KEU"/>
      <sheetName val="LK_DBTR"/>
      <sheetName val="ATM 2009 W11 ver. JAL"/>
      <sheetName val="PAK-03.C"/>
      <sheetName val="PN"/>
      <sheetName val="Std_Industri"/>
      <sheetName val="SAP"/>
      <sheetName val="I_KAMAR"/>
      <sheetName val="BQ-Str"/>
      <sheetName val="past"/>
      <sheetName val="kki"/>
      <sheetName val="fin pro centers"/>
      <sheetName val="DAF-5"/>
      <sheetName val="Kolom"/>
      <sheetName val="PileCap"/>
      <sheetName val="SIRK"/>
      <sheetName val="Kolom UT"/>
      <sheetName val="CF10"/>
      <sheetName val="Asumsi (2)"/>
      <sheetName val="jadual angsuran"/>
      <sheetName val="105"/>
      <sheetName val="calmemo"/>
      <sheetName val="STR04"/>
      <sheetName val="STR05"/>
      <sheetName val="PLNCRN04"/>
      <sheetName val="PLNCRN05"/>
      <sheetName val="exf"/>
      <sheetName val="VER-OTS"/>
      <sheetName val="Elektrikal"/>
      <sheetName val="ADV"/>
      <sheetName val="SAT-BHN"/>
      <sheetName val="CAT_HRG"/>
      <sheetName val="PAD-F"/>
      <sheetName val="GRAND REKAP"/>
      <sheetName val="KASUS4"/>
      <sheetName val="Analisa &amp; Upah"/>
      <sheetName val="Sheet 1"/>
      <sheetName val="SE-C"/>
      <sheetName val="Form 18-10"/>
      <sheetName val="AccUpdateDump"/>
      <sheetName val="CustomerList"/>
      <sheetName val="FPJr2"/>
      <sheetName val="Marshal -1"/>
      <sheetName val="FF-2"/>
      <sheetName val="VALIDASI"/>
      <sheetName val="201-203"/>
      <sheetName val="8"/>
      <sheetName val="11"/>
      <sheetName val="22 Kr"/>
      <sheetName val="_22 Ks"/>
      <sheetName val="33 kr"/>
      <sheetName val="33 ks"/>
      <sheetName val="RAB-1"/>
      <sheetName val="olah swt2"/>
      <sheetName val="prod.prog"/>
      <sheetName val="olah produksi"/>
      <sheetName val="by.olah"/>
      <sheetName val="bagi"/>
      <sheetName val="2000 Actual "/>
      <sheetName val="0+12 Forecast"/>
      <sheetName val="Selected Trend Report"/>
      <sheetName val="jobhist"/>
      <sheetName val="RF"/>
      <sheetName val="Code"/>
      <sheetName val="EQL"/>
      <sheetName val="MDB"/>
      <sheetName val="Slip Gaji"/>
      <sheetName val="Row Data"/>
      <sheetName val="SMU Rental"/>
      <sheetName val="data TT 2006"/>
      <sheetName val="R1-CAPEX-03-A"/>
      <sheetName val="Details BS YTD"/>
      <sheetName val="Jabar"/>
      <sheetName val="Pusat"/>
      <sheetName val="Sulawesi"/>
      <sheetName val="Sumbagsel"/>
      <sheetName val="Kas 2006"/>
      <sheetName val="資產負債表-0310"/>
      <sheetName val="Vendors"/>
      <sheetName val="ALVXXL01"/>
      <sheetName val="Rek. Kas"/>
      <sheetName val="Md71a"/>
      <sheetName val="$pread$"/>
      <sheetName val="mutasi RC"/>
      <sheetName val="Worksheet1"/>
      <sheetName val="spreadsheet"/>
      <sheetName val="Pendahuluan"/>
      <sheetName val="GROUP"/>
      <sheetName val="Résultats"/>
      <sheetName val="Tax Depreciation Mapping"/>
      <sheetName val="KP23"/>
      <sheetName val="Safety Performance"/>
      <sheetName val="SR MTBU"/>
      <sheetName val="Raw Data"/>
      <sheetName val="UPAH &amp; BAHAN"/>
      <sheetName val="2-(2) Gangguan Peralatan (1)"/>
      <sheetName val="Sheet1073"/>
      <sheetName val="BM"/>
      <sheetName val="CRI05"/>
      <sheetName val="Urugan Pasir"/>
      <sheetName val="PNT"/>
      <sheetName val="Pagar BRC"/>
      <sheetName val="Upah"/>
      <sheetName val="1.2"/>
      <sheetName val="DivVII"/>
      <sheetName val="Bill 1 - 9"/>
      <sheetName val="Bill 12"/>
      <sheetName val="Bill 10"/>
      <sheetName val="Daf-Harga"/>
      <sheetName val="Agregat Halus &amp; Kasar"/>
      <sheetName val="TOTALP&amp;L"/>
      <sheetName val="Key Assumptions"/>
      <sheetName val="v Plan_Gt Indo"/>
      <sheetName val="Prices"/>
      <sheetName val="Day 7 Summary"/>
      <sheetName val="SDCs"/>
      <sheetName val="SG&amp;A"/>
      <sheetName val="PROV RETIREMENT"/>
      <sheetName val="Actual Data"/>
      <sheetName val="VPLOOKUP"/>
      <sheetName val="Sheet1075"/>
      <sheetName val="AcqIS"/>
      <sheetName val="AcqBSCF"/>
      <sheetName val="Sheet2171"/>
      <sheetName val="EWTRADE"/>
      <sheetName val="Built"/>
      <sheetName val="DATAFEED"/>
      <sheetName val="RAB-30"/>
      <sheetName val="daffin"/>
      <sheetName val="BDM"/>
      <sheetName val="Detail-PARENT"/>
      <sheetName val="C4_"/>
      <sheetName val="Grunddaten"/>
      <sheetName val="Milk"/>
      <sheetName val="Inventory"/>
      <sheetName val="EK-JAN-07"/>
      <sheetName val="Head"/>
      <sheetName val="PRODUCTDIBY"/>
      <sheetName val="BALANCE ANALYTIQUE"/>
      <sheetName val="dico mois"/>
      <sheetName val="Hit Bgn"/>
      <sheetName val="Jan _08"/>
    </sheetNames>
    <sheetDataSet>
      <sheetData sheetId="0" refreshError="1"/>
      <sheetData sheetId="1" refreshError="1"/>
      <sheetData sheetId="2" refreshError="1">
        <row r="1">
          <cell r="A1">
            <v>0</v>
          </cell>
        </row>
        <row r="18">
          <cell r="N18" t="str">
            <v>ENGINEERING</v>
          </cell>
          <cell r="O18" t="str">
            <v>WK Count</v>
          </cell>
          <cell r="P18" t="str">
            <v>Total Days</v>
          </cell>
          <cell r="Q18">
            <v>0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B20" t="str">
            <v>ANIMATION</v>
          </cell>
          <cell r="C20" t="str">
            <v>INK &amp; PAINT</v>
          </cell>
          <cell r="D20" t="str">
            <v>ALPHA</v>
          </cell>
          <cell r="E20" t="str">
            <v>BETA</v>
          </cell>
          <cell r="F20" t="str">
            <v>ANIMATION</v>
          </cell>
          <cell r="G20">
            <v>11</v>
          </cell>
          <cell r="H20">
            <v>77</v>
          </cell>
          <cell r="I20" t="str">
            <v>INK &amp; PAINT</v>
          </cell>
          <cell r="J20">
            <v>0</v>
          </cell>
          <cell r="K20">
            <v>0</v>
          </cell>
          <cell r="L20" t="str">
            <v>ALPHA</v>
          </cell>
          <cell r="M20">
            <v>0</v>
          </cell>
          <cell r="N20" t="str">
            <v>BETA</v>
          </cell>
          <cell r="O20">
            <v>0</v>
          </cell>
          <cell r="P20" t="str">
            <v>RTM</v>
          </cell>
          <cell r="Q20">
            <v>0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C31" t="str">
            <v>Wks</v>
          </cell>
          <cell r="D31" t="str">
            <v>Days</v>
          </cell>
          <cell r="E31" t="str">
            <v>Frames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C32">
            <v>10</v>
          </cell>
          <cell r="D32">
            <v>110</v>
          </cell>
          <cell r="E32">
            <v>4500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L32">
            <v>7</v>
          </cell>
          <cell r="M32">
            <v>29</v>
          </cell>
          <cell r="N32">
            <v>0</v>
          </cell>
          <cell r="O32">
            <v>29</v>
          </cell>
          <cell r="P32">
            <v>0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O49" t="str">
            <v>WK Count</v>
          </cell>
          <cell r="P49" t="str">
            <v>Total Days</v>
          </cell>
          <cell r="Q49">
            <v>0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B53" t="str">
            <v>ANIMATION</v>
          </cell>
          <cell r="C53" t="str">
            <v>INK &amp; PAINT</v>
          </cell>
          <cell r="D53" t="str">
            <v>ALPHA</v>
          </cell>
          <cell r="E53" t="str">
            <v>BETA</v>
          </cell>
          <cell r="F53" t="str">
            <v>ANIMATION</v>
          </cell>
          <cell r="G53">
            <v>22</v>
          </cell>
          <cell r="H53">
            <v>154</v>
          </cell>
          <cell r="I53" t="str">
            <v>INK &amp; PAINT</v>
          </cell>
          <cell r="J53">
            <v>0</v>
          </cell>
          <cell r="K53">
            <v>0</v>
          </cell>
          <cell r="L53" t="str">
            <v>ALPHA</v>
          </cell>
          <cell r="M53">
            <v>0</v>
          </cell>
          <cell r="N53" t="str">
            <v>BETA</v>
          </cell>
          <cell r="O53">
            <v>0</v>
          </cell>
          <cell r="P53" t="str">
            <v>RTM</v>
          </cell>
          <cell r="Q53">
            <v>0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C64" t="str">
            <v>Wks</v>
          </cell>
          <cell r="D64" t="str">
            <v>Days</v>
          </cell>
          <cell r="E64" t="str">
            <v>Frames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C65">
            <v>6.666666666666667</v>
          </cell>
          <cell r="D65">
            <v>76.666666666666671</v>
          </cell>
          <cell r="E65">
            <v>3000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L65">
            <v>9</v>
          </cell>
          <cell r="M65">
            <v>29</v>
          </cell>
          <cell r="N65">
            <v>0</v>
          </cell>
          <cell r="O65">
            <v>29</v>
          </cell>
          <cell r="P65">
            <v>0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O97" t="str">
            <v>WK Count</v>
          </cell>
          <cell r="P97" t="str">
            <v>Total Days</v>
          </cell>
          <cell r="Q97">
            <v>0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O98">
            <v>0</v>
          </cell>
          <cell r="P98">
            <v>0</v>
          </cell>
          <cell r="Q98">
            <v>0</v>
          </cell>
          <cell r="R98" t="str">
            <v>MULAN STORY STUDIO</v>
          </cell>
          <cell r="S98" t="str">
            <v>WK Count</v>
          </cell>
          <cell r="T98" t="str">
            <v>Total Days</v>
          </cell>
          <cell r="U98">
            <v>0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</row>
        <row r="99">
          <cell r="A99" t="str">
            <v>PREP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 t="str">
            <v>ANIMATION</v>
          </cell>
          <cell r="G99">
            <v>0</v>
          </cell>
          <cell r="H99">
            <v>0</v>
          </cell>
          <cell r="I99" t="str">
            <v>INK &amp; PAINT</v>
          </cell>
          <cell r="J99">
            <v>0</v>
          </cell>
          <cell r="K99">
            <v>0</v>
          </cell>
          <cell r="L99" t="str">
            <v>ALPHA</v>
          </cell>
          <cell r="M99">
            <v>0</v>
          </cell>
          <cell r="N99" t="str">
            <v>BETA</v>
          </cell>
          <cell r="O99">
            <v>0</v>
          </cell>
          <cell r="P99" t="str">
            <v>RTM</v>
          </cell>
          <cell r="Q99">
            <v>0</v>
          </cell>
          <cell r="R99" t="str">
            <v>STREET</v>
          </cell>
          <cell r="S99">
            <v>0</v>
          </cell>
          <cell r="T99" t="str">
            <v>Prep Projection</v>
          </cell>
          <cell r="U99">
            <v>0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</row>
        <row r="100">
          <cell r="A100" t="str">
            <v>PREP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 t="str">
            <v>ANIMATION</v>
          </cell>
          <cell r="G100">
            <v>0</v>
          </cell>
          <cell r="H100">
            <v>0</v>
          </cell>
          <cell r="I100" t="str">
            <v>INK &amp; PAINT</v>
          </cell>
          <cell r="J100">
            <v>0</v>
          </cell>
          <cell r="K100">
            <v>0</v>
          </cell>
          <cell r="L100" t="str">
            <v>ALPHA</v>
          </cell>
          <cell r="M100">
            <v>0</v>
          </cell>
          <cell r="N100" t="str">
            <v>BETA</v>
          </cell>
          <cell r="O100">
            <v>0</v>
          </cell>
          <cell r="P100" t="str">
            <v>RTM</v>
          </cell>
          <cell r="Q100">
            <v>0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U100">
            <v>0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  <cell r="EW100">
            <v>0</v>
          </cell>
          <cell r="EX100">
            <v>0</v>
          </cell>
          <cell r="EY100">
            <v>0</v>
          </cell>
          <cell r="EZ100">
            <v>0</v>
          </cell>
        </row>
        <row r="101">
          <cell r="S101" t="str">
            <v>PRODUCTION TO DATE</v>
          </cell>
          <cell r="T101" t="str">
            <v>WK 1</v>
          </cell>
          <cell r="U101" t="str">
            <v>WK 2</v>
          </cell>
          <cell r="V101" t="str">
            <v>WK 3</v>
          </cell>
          <cell r="W101" t="str">
            <v>WK 4</v>
          </cell>
          <cell r="X101" t="str">
            <v>WK 5</v>
          </cell>
          <cell r="Y101" t="str">
            <v>WK 6</v>
          </cell>
          <cell r="Z101" t="str">
            <v>WK 7</v>
          </cell>
          <cell r="AA101" t="str">
            <v>WK 8</v>
          </cell>
          <cell r="AB101" t="str">
            <v>WK 9</v>
          </cell>
          <cell r="AC101" t="str">
            <v>WK 10</v>
          </cell>
          <cell r="AD101" t="str">
            <v>WK 11</v>
          </cell>
          <cell r="AE101" t="str">
            <v>WK 12</v>
          </cell>
          <cell r="AF101" t="str">
            <v>WK 13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C108">
            <v>0</v>
          </cell>
          <cell r="T108" t="str">
            <v>Approved</v>
          </cell>
          <cell r="U108">
            <v>0.40490196078431373</v>
          </cell>
          <cell r="V108">
            <v>2065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C110">
            <v>0</v>
          </cell>
          <cell r="D110">
            <v>0</v>
          </cell>
          <cell r="E110">
            <v>0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 t="str">
            <v>Animation Projection</v>
          </cell>
          <cell r="U110">
            <v>0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I110">
            <v>0</v>
          </cell>
          <cell r="BJ110">
            <v>0</v>
          </cell>
          <cell r="BK110">
            <v>500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</row>
        <row r="111">
          <cell r="A111" t="str">
            <v>Wks</v>
          </cell>
          <cell r="B111" t="str">
            <v>Days</v>
          </cell>
          <cell r="C111">
            <v>0</v>
          </cell>
          <cell r="D111">
            <v>0</v>
          </cell>
          <cell r="E111">
            <v>0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L111">
            <v>0</v>
          </cell>
          <cell r="M111">
            <v>29</v>
          </cell>
          <cell r="N111">
            <v>0</v>
          </cell>
          <cell r="O111">
            <v>29</v>
          </cell>
          <cell r="P111">
            <v>0</v>
          </cell>
          <cell r="Q111">
            <v>29</v>
          </cell>
          <cell r="R111">
            <v>0</v>
          </cell>
          <cell r="S111">
            <v>0</v>
          </cell>
          <cell r="T111" t="str">
            <v>Animation Projection</v>
          </cell>
          <cell r="U111">
            <v>0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I111">
            <v>0</v>
          </cell>
          <cell r="BJ111">
            <v>0</v>
          </cell>
          <cell r="BK111">
            <v>500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G111">
            <v>0</v>
          </cell>
          <cell r="EH111">
            <v>0</v>
          </cell>
          <cell r="EI111">
            <v>0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  <cell r="EX111">
            <v>0</v>
          </cell>
          <cell r="EY111">
            <v>0</v>
          </cell>
          <cell r="EZ111">
            <v>0</v>
          </cell>
        </row>
        <row r="112">
          <cell r="A112">
            <v>10.199999999999999</v>
          </cell>
          <cell r="B112">
            <v>85.399999999999991</v>
          </cell>
          <cell r="C112">
            <v>0</v>
          </cell>
          <cell r="D112">
            <v>0</v>
          </cell>
          <cell r="E112">
            <v>0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L112">
            <v>0</v>
          </cell>
          <cell r="M112">
            <v>29</v>
          </cell>
          <cell r="N112">
            <v>0</v>
          </cell>
          <cell r="O112">
            <v>29</v>
          </cell>
          <cell r="P112">
            <v>0</v>
          </cell>
          <cell r="Q112">
            <v>29</v>
          </cell>
          <cell r="R112">
            <v>35961</v>
          </cell>
          <cell r="S112">
            <v>0</v>
          </cell>
          <cell r="T112" t="str">
            <v>Ink &amp; Paint Projection</v>
          </cell>
          <cell r="U112">
            <v>0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225</v>
          </cell>
          <cell r="BH112">
            <v>450</v>
          </cell>
          <cell r="BI112">
            <v>0</v>
          </cell>
          <cell r="BJ112">
            <v>0</v>
          </cell>
          <cell r="BK112">
            <v>900</v>
          </cell>
          <cell r="BL112">
            <v>900</v>
          </cell>
          <cell r="BM112">
            <v>900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</row>
        <row r="113">
          <cell r="BK113">
            <v>900</v>
          </cell>
          <cell r="BL113">
            <v>900</v>
          </cell>
          <cell r="BM113">
            <v>900</v>
          </cell>
          <cell r="BN113" t="str">
            <v/>
          </cell>
          <cell r="BO113" t="str">
            <v/>
          </cell>
          <cell r="BP113" t="str">
            <v/>
          </cell>
          <cell r="BQ113" t="str">
            <v/>
          </cell>
          <cell r="BR113" t="str">
            <v/>
          </cell>
          <cell r="BS113" t="str">
            <v/>
          </cell>
          <cell r="BT113" t="str">
            <v/>
          </cell>
          <cell r="BU113" t="str">
            <v/>
          </cell>
          <cell r="BV113" t="str">
            <v/>
          </cell>
          <cell r="BW113" t="str">
            <v/>
          </cell>
          <cell r="BX113" t="str">
            <v/>
          </cell>
          <cell r="BY113" t="str">
            <v/>
          </cell>
          <cell r="BZ113" t="str">
            <v/>
          </cell>
          <cell r="CA113" t="str">
            <v/>
          </cell>
          <cell r="CB113" t="str">
            <v/>
          </cell>
          <cell r="CC113" t="str">
            <v/>
          </cell>
          <cell r="CD113" t="str">
            <v/>
          </cell>
          <cell r="CE113" t="str">
            <v/>
          </cell>
          <cell r="CF113" t="str">
            <v/>
          </cell>
          <cell r="CG113" t="str">
            <v/>
          </cell>
          <cell r="CH113" t="str">
            <v/>
          </cell>
          <cell r="CI113" t="str">
            <v/>
          </cell>
          <cell r="CJ113" t="str">
            <v/>
          </cell>
          <cell r="CK113" t="str">
            <v/>
          </cell>
          <cell r="CL113" t="str">
            <v/>
          </cell>
          <cell r="CM113" t="str">
            <v/>
          </cell>
          <cell r="CN113" t="str">
            <v/>
          </cell>
          <cell r="CO113" t="str">
            <v/>
          </cell>
          <cell r="CP113" t="str">
            <v/>
          </cell>
          <cell r="CQ113" t="str">
            <v/>
          </cell>
          <cell r="CR113" t="str">
            <v/>
          </cell>
          <cell r="CS113" t="str">
            <v/>
          </cell>
          <cell r="CT113" t="str">
            <v/>
          </cell>
          <cell r="CU113" t="str">
            <v/>
          </cell>
          <cell r="CV113" t="str">
            <v/>
          </cell>
          <cell r="CW113" t="str">
            <v/>
          </cell>
          <cell r="CX113" t="str">
            <v/>
          </cell>
          <cell r="CY113" t="str">
            <v/>
          </cell>
          <cell r="CZ113" t="str">
            <v/>
          </cell>
          <cell r="DA113" t="str">
            <v/>
          </cell>
          <cell r="DB113" t="str">
            <v/>
          </cell>
          <cell r="DC113" t="str">
            <v/>
          </cell>
          <cell r="DD113" t="str">
            <v/>
          </cell>
          <cell r="DE113" t="str">
            <v/>
          </cell>
          <cell r="DF113" t="str">
            <v/>
          </cell>
          <cell r="DG113" t="str">
            <v/>
          </cell>
          <cell r="DH113" t="str">
            <v/>
          </cell>
          <cell r="DI113" t="str">
            <v/>
          </cell>
          <cell r="DJ113" t="str">
            <v/>
          </cell>
          <cell r="DK113" t="str">
            <v/>
          </cell>
          <cell r="DL113" t="str">
            <v/>
          </cell>
          <cell r="DM113" t="str">
            <v/>
          </cell>
          <cell r="DN113" t="str">
            <v/>
          </cell>
          <cell r="DO113" t="str">
            <v/>
          </cell>
          <cell r="DP113" t="str">
            <v/>
          </cell>
          <cell r="DQ113" t="str">
            <v/>
          </cell>
          <cell r="DR113" t="str">
            <v/>
          </cell>
          <cell r="DS113" t="str">
            <v/>
          </cell>
          <cell r="DT113" t="str">
            <v/>
          </cell>
          <cell r="DU113" t="str">
            <v/>
          </cell>
          <cell r="DV113" t="str">
            <v/>
          </cell>
          <cell r="DW113" t="str">
            <v/>
          </cell>
          <cell r="DX113" t="str">
            <v/>
          </cell>
          <cell r="DY113" t="str">
            <v/>
          </cell>
          <cell r="DZ113" t="str">
            <v/>
          </cell>
          <cell r="EA113" t="str">
            <v/>
          </cell>
          <cell r="EB113" t="str">
            <v/>
          </cell>
          <cell r="EC113" t="str">
            <v/>
          </cell>
          <cell r="ED113" t="str">
            <v/>
          </cell>
          <cell r="EE113" t="str">
            <v/>
          </cell>
          <cell r="EF113" t="str">
            <v/>
          </cell>
          <cell r="EG113" t="str">
            <v/>
          </cell>
          <cell r="EH113" t="str">
            <v/>
          </cell>
          <cell r="EI113" t="str">
            <v/>
          </cell>
          <cell r="EJ113" t="str">
            <v/>
          </cell>
          <cell r="EK113" t="str">
            <v/>
          </cell>
          <cell r="EL113" t="str">
            <v/>
          </cell>
          <cell r="EM113" t="str">
            <v/>
          </cell>
          <cell r="EN113" t="str">
            <v/>
          </cell>
          <cell r="EO113" t="str">
            <v/>
          </cell>
          <cell r="EP113" t="str">
            <v/>
          </cell>
          <cell r="EQ113" t="str">
            <v/>
          </cell>
          <cell r="ER113" t="str">
            <v/>
          </cell>
          <cell r="ES113" t="str">
            <v/>
          </cell>
          <cell r="ET113" t="str">
            <v/>
          </cell>
          <cell r="EU113" t="str">
            <v/>
          </cell>
          <cell r="EV113" t="str">
            <v/>
          </cell>
        </row>
        <row r="114">
          <cell r="T114" t="str">
            <v>BUDGET FORECAST</v>
          </cell>
          <cell r="U114">
            <v>153000</v>
          </cell>
          <cell r="V114">
            <v>40800</v>
          </cell>
          <cell r="W114">
            <v>153000</v>
          </cell>
          <cell r="X114">
            <v>40800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T115" t="str">
            <v>BUDGET FORECAST</v>
          </cell>
          <cell r="U115" t="str">
            <v>PRE PROD</v>
          </cell>
          <cell r="V115" t="str">
            <v>PRE PROD</v>
          </cell>
          <cell r="W115">
            <v>765000</v>
          </cell>
          <cell r="X115">
            <v>60000</v>
          </cell>
          <cell r="Y115">
            <v>0</v>
          </cell>
          <cell r="Z115">
            <v>0</v>
          </cell>
          <cell r="AA115">
            <v>35555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Y116">
            <v>180000</v>
          </cell>
          <cell r="Z116">
            <v>0</v>
          </cell>
          <cell r="AA116">
            <v>180000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Y117">
            <v>59999.974293795312</v>
          </cell>
          <cell r="Z117">
            <v>0</v>
          </cell>
          <cell r="AA117">
            <v>59999.974293795312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>
            <v>0</v>
          </cell>
          <cell r="BJ117">
            <v>75000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Y118">
            <v>950000.03</v>
          </cell>
          <cell r="Z118">
            <v>0</v>
          </cell>
          <cell r="AA118">
            <v>950000.03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>
            <v>0</v>
          </cell>
          <cell r="BJ118">
            <v>155714.29</v>
          </cell>
          <cell r="BK118">
            <v>130000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1800</v>
          </cell>
          <cell r="BG119">
            <v>3600</v>
          </cell>
          <cell r="BH119">
            <v>5400</v>
          </cell>
          <cell r="BI119">
            <v>0</v>
          </cell>
          <cell r="BJ119">
            <v>7200</v>
          </cell>
          <cell r="BK119">
            <v>7200</v>
          </cell>
          <cell r="BL119">
            <v>7200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>
            <v>0</v>
          </cell>
          <cell r="FV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Y120">
            <v>72000</v>
          </cell>
          <cell r="Z120">
            <v>0</v>
          </cell>
          <cell r="AA120">
            <v>72000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8000</v>
          </cell>
          <cell r="BH120">
            <v>10000</v>
          </cell>
          <cell r="BI120">
            <v>0</v>
          </cell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</row>
        <row r="121">
          <cell r="X121">
            <v>1262000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</row>
        <row r="122">
          <cell r="X122" t="str">
            <v>cost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</row>
        <row r="123">
          <cell r="T123" t="str">
            <v>ACTUAL COST TO DATE</v>
          </cell>
          <cell r="U123" t="str">
            <v>cumulative</v>
          </cell>
          <cell r="V123">
            <v>0</v>
          </cell>
          <cell r="W123">
            <v>0</v>
          </cell>
          <cell r="X123" t="str">
            <v>cumulative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</row>
        <row r="124">
          <cell r="S124" t="str">
            <v>COST TO DATE</v>
          </cell>
          <cell r="T124" t="str">
            <v>ACTUAL COST TO DATE</v>
          </cell>
          <cell r="U124" t="str">
            <v>DIRECT TO DATE</v>
          </cell>
          <cell r="V124" t="str">
            <v>DIRECT TO DATE</v>
          </cell>
          <cell r="W124" t="str">
            <v>BUDGET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 t="str">
            <v>ADJ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</row>
        <row r="125">
          <cell r="S125" t="str">
            <v>COST TO DATE</v>
          </cell>
          <cell r="T125" t="str">
            <v>DEVELOPMENT</v>
          </cell>
          <cell r="U125" t="str">
            <v>DIRECT TO DATE</v>
          </cell>
          <cell r="V125" t="str">
            <v>DIRECT TO DATE</v>
          </cell>
          <cell r="W125" t="str">
            <v>BUDGET</v>
          </cell>
          <cell r="X125">
            <v>0</v>
          </cell>
          <cell r="Y125" t="str">
            <v>ADJ</v>
          </cell>
          <cell r="Z125">
            <v>0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U128">
            <v>0</v>
          </cell>
          <cell r="V128">
            <v>0</v>
          </cell>
          <cell r="W128">
            <v>60000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U129">
            <v>44274.066319164602</v>
          </cell>
          <cell r="V129">
            <v>44274.066319164602</v>
          </cell>
          <cell r="W129">
            <v>60000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U132">
            <v>0</v>
          </cell>
          <cell r="V132">
            <v>0</v>
          </cell>
          <cell r="W132">
            <v>72000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U133">
            <v>458215.94553328701</v>
          </cell>
          <cell r="V133">
            <v>458215.94553328701</v>
          </cell>
          <cell r="W133">
            <v>0</v>
          </cell>
          <cell r="X133" t="str">
            <v>DIRECT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U134">
            <v>397899.75224877341</v>
          </cell>
          <cell r="V134">
            <v>397899.75224877341</v>
          </cell>
          <cell r="W134">
            <v>1519900</v>
          </cell>
          <cell r="X134" t="str">
            <v>DIRECT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U135">
            <v>595680.72919327312</v>
          </cell>
          <cell r="V135">
            <v>595680.72919327312</v>
          </cell>
          <cell r="W135">
            <v>1262400</v>
          </cell>
          <cell r="X135" t="str">
            <v>cumulative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W136">
            <v>35907</v>
          </cell>
          <cell r="X136">
            <v>35907</v>
          </cell>
          <cell r="Y136">
            <v>119</v>
          </cell>
          <cell r="Z136">
            <v>44.722222222222229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</row>
        <row r="137">
          <cell r="V137" t="str">
            <v>PROJECTED RTM</v>
          </cell>
          <cell r="W137">
            <v>35907</v>
          </cell>
          <cell r="X137">
            <v>35907</v>
          </cell>
          <cell r="Y137">
            <v>119</v>
          </cell>
          <cell r="Z137">
            <v>39.666666666666671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</row>
        <row r="138">
          <cell r="V138" t="str">
            <v>PROJECTED STREET</v>
          </cell>
          <cell r="W138">
            <v>35936</v>
          </cell>
          <cell r="X138">
            <v>35936</v>
          </cell>
        </row>
        <row r="139">
          <cell r="V139" t="str">
            <v>+ or - Scheduled Date</v>
          </cell>
          <cell r="W139">
            <v>25</v>
          </cell>
          <cell r="X139">
            <v>25</v>
          </cell>
        </row>
        <row r="140">
          <cell r="X140">
            <v>25</v>
          </cell>
        </row>
        <row r="141">
          <cell r="N141" t="str">
            <v>ENGINEERING</v>
          </cell>
          <cell r="O141">
            <v>0</v>
          </cell>
          <cell r="P141">
            <v>0</v>
          </cell>
          <cell r="Q141">
            <v>0</v>
          </cell>
          <cell r="R141" t="str">
            <v>MAGOO FEATURE FILM</v>
          </cell>
          <cell r="S141" t="str">
            <v>Total Days</v>
          </cell>
          <cell r="T141">
            <v>0</v>
          </cell>
          <cell r="U141">
            <v>0</v>
          </cell>
          <cell r="V141">
            <v>0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O142">
            <v>0</v>
          </cell>
          <cell r="P142">
            <v>0</v>
          </cell>
          <cell r="Q142">
            <v>0</v>
          </cell>
          <cell r="R142" t="str">
            <v>MAGOO FEATURE FILM</v>
          </cell>
          <cell r="S142" t="str">
            <v>WK Count</v>
          </cell>
          <cell r="T142" t="str">
            <v>Total Days</v>
          </cell>
          <cell r="U142">
            <v>0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</row>
        <row r="143">
          <cell r="A143" t="str">
            <v>PREP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 t="str">
            <v>ANIMATION</v>
          </cell>
          <cell r="G143">
            <v>0</v>
          </cell>
          <cell r="H143">
            <v>0</v>
          </cell>
          <cell r="I143" t="str">
            <v>INK &amp; PAINT</v>
          </cell>
          <cell r="J143">
            <v>0</v>
          </cell>
          <cell r="K143">
            <v>0</v>
          </cell>
          <cell r="L143" t="str">
            <v>ALPHA</v>
          </cell>
          <cell r="M143">
            <v>0</v>
          </cell>
          <cell r="N143" t="str">
            <v>BETA</v>
          </cell>
          <cell r="O143">
            <v>0</v>
          </cell>
          <cell r="P143" t="str">
            <v>RTM</v>
          </cell>
          <cell r="Q143">
            <v>0</v>
          </cell>
          <cell r="R143" t="str">
            <v>STREET</v>
          </cell>
          <cell r="S143">
            <v>0</v>
          </cell>
          <cell r="T143" t="str">
            <v>Story Boards</v>
          </cell>
          <cell r="U143">
            <v>0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</row>
        <row r="144">
          <cell r="A144" t="str">
            <v>PREP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 t="str">
            <v>ANIMATION</v>
          </cell>
          <cell r="G144">
            <v>0</v>
          </cell>
          <cell r="H144">
            <v>0</v>
          </cell>
          <cell r="I144" t="str">
            <v>INK &amp; PAINT</v>
          </cell>
          <cell r="J144">
            <v>0</v>
          </cell>
          <cell r="K144">
            <v>0</v>
          </cell>
          <cell r="L144" t="str">
            <v>ALPHA</v>
          </cell>
          <cell r="M144">
            <v>0</v>
          </cell>
          <cell r="N144" t="str">
            <v>BETA</v>
          </cell>
          <cell r="O144">
            <v>0</v>
          </cell>
          <cell r="P144" t="str">
            <v>RTM</v>
          </cell>
          <cell r="Q144">
            <v>0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U144">
            <v>0</v>
          </cell>
          <cell r="V144">
            <v>0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</row>
        <row r="145">
          <cell r="S145" t="str">
            <v>PRODUCTION TO DATE</v>
          </cell>
          <cell r="T145" t="str">
            <v>Film &amp; Animatic</v>
          </cell>
          <cell r="U145">
            <v>35702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U146">
            <v>35702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U147">
            <v>35709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U148">
            <v>35716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U149">
            <v>35716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U150">
            <v>35723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U151">
            <v>35737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U152">
            <v>35744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U153">
            <v>35760</v>
          </cell>
          <cell r="V153">
            <v>35760</v>
          </cell>
          <cell r="W153">
            <v>35765</v>
          </cell>
          <cell r="X153" t="str">
            <v>FINAL LAB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</row>
        <row r="154">
          <cell r="S154" t="str">
            <v>COST TO DATE</v>
          </cell>
          <cell r="T154" t="str">
            <v>DIRECT TO DATE</v>
          </cell>
          <cell r="U154">
            <v>0</v>
          </cell>
          <cell r="V154" t="str">
            <v>DIRECT TO DATE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0</v>
          </cell>
          <cell r="EQ154">
            <v>0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</row>
        <row r="155">
          <cell r="S155" t="str">
            <v>COST TO DATE</v>
          </cell>
          <cell r="T155" t="str">
            <v>TEST</v>
          </cell>
          <cell r="U155" t="str">
            <v>DIRECT TO DATE</v>
          </cell>
          <cell r="V155" t="str">
            <v>DIRECT TO DATE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</row>
        <row r="156">
          <cell r="T156" t="str">
            <v>TEST</v>
          </cell>
          <cell r="U156">
            <v>36611.930954725125</v>
          </cell>
          <cell r="V156">
            <v>36611.930954725125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</row>
        <row r="157">
          <cell r="T157" t="str">
            <v>LAYOUTS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</row>
        <row r="158">
          <cell r="T158" t="str">
            <v>2D ANIMATION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</row>
        <row r="159">
          <cell r="T159" t="str">
            <v>3D ANIMATION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</row>
        <row r="160">
          <cell r="T160" t="str">
            <v>POST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</row>
        <row r="161">
          <cell r="T161" t="str">
            <v>FINAL LAB</v>
          </cell>
          <cell r="U161">
            <v>14978.465132694124</v>
          </cell>
          <cell r="V161">
            <v>14978.465132694124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</row>
        <row r="162">
          <cell r="T162" t="str">
            <v>TOTAL COST</v>
          </cell>
          <cell r="U162">
            <v>14978.465132694124</v>
          </cell>
          <cell r="V162">
            <v>14978.465132694124</v>
          </cell>
          <cell r="W162">
            <v>0</v>
          </cell>
          <cell r="X162" t="str">
            <v>WEEKLY COST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</row>
        <row r="163">
          <cell r="V163">
            <v>20761.209185771775</v>
          </cell>
          <cell r="W163" t="str">
            <v>WEEKLY COST</v>
          </cell>
          <cell r="X163" t="str">
            <v>WEEKLY COST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</row>
        <row r="164">
          <cell r="V164">
            <v>20969.851185771775</v>
          </cell>
          <cell r="W164" t="str">
            <v>CUMULATIVE</v>
          </cell>
          <cell r="X164" t="str">
            <v>CUMULATIVE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</row>
        <row r="165">
          <cell r="V165" t="str">
            <v>PROJECTED RTM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</row>
        <row r="166">
          <cell r="V166" t="str">
            <v>PROJECTED RTM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O169">
            <v>0</v>
          </cell>
          <cell r="P169">
            <v>0</v>
          </cell>
          <cell r="Q169">
            <v>0</v>
          </cell>
          <cell r="R169" t="str">
            <v>ALADDIN READING</v>
          </cell>
          <cell r="S169" t="str">
            <v>Total Days</v>
          </cell>
          <cell r="T169">
            <v>0</v>
          </cell>
          <cell r="U169">
            <v>0</v>
          </cell>
          <cell r="V169">
            <v>0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O170">
            <v>0</v>
          </cell>
          <cell r="P170">
            <v>0</v>
          </cell>
          <cell r="Q170">
            <v>0</v>
          </cell>
          <cell r="R170" t="str">
            <v>ALADDIN READING</v>
          </cell>
          <cell r="S170" t="str">
            <v>WK Count</v>
          </cell>
          <cell r="T170" t="str">
            <v>Total Days</v>
          </cell>
          <cell r="U170">
            <v>0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  <cell r="EW170">
            <v>0</v>
          </cell>
          <cell r="EX170">
            <v>0</v>
          </cell>
          <cell r="EY170">
            <v>0</v>
          </cell>
          <cell r="EZ170">
            <v>0</v>
          </cell>
        </row>
        <row r="171">
          <cell r="A171" t="str">
            <v>PREP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 t="str">
            <v>ANIMATION</v>
          </cell>
          <cell r="G171">
            <v>0</v>
          </cell>
          <cell r="H171">
            <v>0</v>
          </cell>
          <cell r="I171" t="str">
            <v>INK &amp; PAINT</v>
          </cell>
          <cell r="J171">
            <v>0</v>
          </cell>
          <cell r="K171">
            <v>0</v>
          </cell>
          <cell r="L171" t="str">
            <v>ALPHA</v>
          </cell>
          <cell r="M171">
            <v>0</v>
          </cell>
          <cell r="N171" t="str">
            <v>BETA</v>
          </cell>
          <cell r="O171">
            <v>0</v>
          </cell>
          <cell r="P171" t="str">
            <v>RTM</v>
          </cell>
          <cell r="Q171">
            <v>0</v>
          </cell>
          <cell r="R171" t="str">
            <v>STREET</v>
          </cell>
          <cell r="S171">
            <v>0</v>
          </cell>
          <cell r="T171" t="str">
            <v>Prep Projection</v>
          </cell>
          <cell r="U171">
            <v>0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</row>
        <row r="172">
          <cell r="A172" t="str">
            <v>PREP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 t="str">
            <v>ANIMATION</v>
          </cell>
          <cell r="G172">
            <v>0</v>
          </cell>
          <cell r="H172">
            <v>0</v>
          </cell>
          <cell r="I172" t="str">
            <v>INK &amp; PAINT</v>
          </cell>
          <cell r="J172">
            <v>0</v>
          </cell>
          <cell r="K172">
            <v>0</v>
          </cell>
          <cell r="L172" t="str">
            <v>ALPHA</v>
          </cell>
          <cell r="M172">
            <v>0</v>
          </cell>
          <cell r="N172" t="str">
            <v>BETA</v>
          </cell>
          <cell r="O172">
            <v>0</v>
          </cell>
          <cell r="P172" t="str">
            <v>RTM</v>
          </cell>
          <cell r="Q172">
            <v>0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U172">
            <v>0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</row>
        <row r="173">
          <cell r="S173" t="str">
            <v>PRODUCTION TO DATE</v>
          </cell>
        </row>
        <row r="174">
          <cell r="T174" t="str">
            <v>Scenes Issued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C182">
            <v>0</v>
          </cell>
          <cell r="D182">
            <v>0</v>
          </cell>
          <cell r="E182">
            <v>0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 t="str">
            <v>Animation Projection</v>
          </cell>
          <cell r="U182">
            <v>0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</row>
        <row r="183">
          <cell r="A183" t="str">
            <v>Wks</v>
          </cell>
          <cell r="B183" t="str">
            <v>Days</v>
          </cell>
          <cell r="C183">
            <v>0</v>
          </cell>
          <cell r="D183">
            <v>0</v>
          </cell>
          <cell r="E183">
            <v>0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L183">
            <v>0</v>
          </cell>
          <cell r="M183">
            <v>29</v>
          </cell>
          <cell r="N183">
            <v>0</v>
          </cell>
          <cell r="O183">
            <v>29</v>
          </cell>
          <cell r="P183">
            <v>0</v>
          </cell>
          <cell r="Q183">
            <v>29</v>
          </cell>
          <cell r="R183">
            <v>36008</v>
          </cell>
          <cell r="S183">
            <v>0</v>
          </cell>
          <cell r="T183" t="str">
            <v>Animation Projection</v>
          </cell>
          <cell r="U183">
            <v>0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</row>
        <row r="184">
          <cell r="A184">
            <v>7.3905499999999993</v>
          </cell>
          <cell r="B184">
            <v>65.73384999999999</v>
          </cell>
          <cell r="C184">
            <v>0</v>
          </cell>
          <cell r="D184">
            <v>0</v>
          </cell>
          <cell r="E184">
            <v>0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L184">
            <v>0</v>
          </cell>
          <cell r="M184">
            <v>29</v>
          </cell>
          <cell r="N184">
            <v>0</v>
          </cell>
          <cell r="O184">
            <v>29</v>
          </cell>
          <cell r="P184">
            <v>0</v>
          </cell>
          <cell r="Q184">
            <v>29</v>
          </cell>
          <cell r="R184">
            <v>36008</v>
          </cell>
          <cell r="S184">
            <v>0</v>
          </cell>
          <cell r="T184" t="str">
            <v>Ink &amp; Paint Projection</v>
          </cell>
          <cell r="U184">
            <v>0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</row>
        <row r="185">
          <cell r="V185">
            <v>35822</v>
          </cell>
          <cell r="W185">
            <v>35858.992822222222</v>
          </cell>
          <cell r="X185">
            <v>900</v>
          </cell>
          <cell r="Y185">
            <v>8</v>
          </cell>
          <cell r="Z185">
            <v>36.992822222222223</v>
          </cell>
          <cell r="AA185" t="str">
            <v/>
          </cell>
          <cell r="AB185" t="str">
            <v/>
          </cell>
          <cell r="AC185" t="str">
            <v/>
          </cell>
          <cell r="AD185" t="str">
            <v/>
          </cell>
          <cell r="AE185" t="str">
            <v/>
          </cell>
          <cell r="AF185" t="str">
            <v/>
          </cell>
          <cell r="AG185" t="str">
            <v/>
          </cell>
          <cell r="AH185" t="str">
            <v/>
          </cell>
          <cell r="AI185" t="str">
            <v/>
          </cell>
          <cell r="AJ185" t="str">
            <v/>
          </cell>
          <cell r="AK185" t="str">
            <v/>
          </cell>
          <cell r="AL185" t="str">
            <v/>
          </cell>
          <cell r="AM185" t="str">
            <v/>
          </cell>
          <cell r="AN185" t="str">
            <v/>
          </cell>
          <cell r="AO185" t="str">
            <v/>
          </cell>
          <cell r="AP185" t="str">
            <v/>
          </cell>
          <cell r="AQ185" t="str">
            <v/>
          </cell>
          <cell r="AR185" t="str">
            <v/>
          </cell>
          <cell r="AS185" t="str">
            <v/>
          </cell>
          <cell r="AT185" t="str">
            <v/>
          </cell>
          <cell r="AU185" t="str">
            <v/>
          </cell>
          <cell r="AV185" t="str">
            <v/>
          </cell>
          <cell r="AW185" t="str">
            <v/>
          </cell>
          <cell r="AX185" t="str">
            <v/>
          </cell>
          <cell r="AY185" t="str">
            <v/>
          </cell>
          <cell r="AZ185" t="str">
            <v/>
          </cell>
          <cell r="BA185" t="str">
            <v/>
          </cell>
          <cell r="BB185" t="str">
            <v/>
          </cell>
          <cell r="BC185" t="str">
            <v/>
          </cell>
          <cell r="BD185" t="str">
            <v/>
          </cell>
          <cell r="BE185" t="str">
            <v/>
          </cell>
          <cell r="BF185" t="str">
            <v/>
          </cell>
          <cell r="BG185" t="str">
            <v/>
          </cell>
          <cell r="BH185" t="str">
            <v/>
          </cell>
          <cell r="BI185" t="str">
            <v/>
          </cell>
          <cell r="BJ185" t="str">
            <v/>
          </cell>
          <cell r="BK185" t="str">
            <v/>
          </cell>
          <cell r="BL185" t="str">
            <v/>
          </cell>
          <cell r="BM185" t="str">
            <v/>
          </cell>
          <cell r="BN185">
            <v>225</v>
          </cell>
          <cell r="BO185">
            <v>450</v>
          </cell>
          <cell r="BP185">
            <v>450</v>
          </cell>
          <cell r="BQ185">
            <v>675</v>
          </cell>
          <cell r="BR185">
            <v>450</v>
          </cell>
          <cell r="BS185">
            <v>675</v>
          </cell>
          <cell r="BT185">
            <v>900</v>
          </cell>
          <cell r="BU185">
            <v>900</v>
          </cell>
          <cell r="BV185" t="str">
            <v/>
          </cell>
          <cell r="BW185" t="str">
            <v/>
          </cell>
          <cell r="BX185" t="str">
            <v/>
          </cell>
          <cell r="BY185" t="str">
            <v/>
          </cell>
          <cell r="BZ185" t="str">
            <v/>
          </cell>
          <cell r="CA185" t="str">
            <v/>
          </cell>
          <cell r="CB185" t="str">
            <v/>
          </cell>
          <cell r="CC185" t="str">
            <v/>
          </cell>
          <cell r="CD185" t="str">
            <v/>
          </cell>
          <cell r="CE185" t="str">
            <v/>
          </cell>
          <cell r="CF185" t="str">
            <v/>
          </cell>
          <cell r="CG185" t="str">
            <v/>
          </cell>
          <cell r="CH185" t="str">
            <v/>
          </cell>
          <cell r="CI185" t="str">
            <v/>
          </cell>
          <cell r="CJ185" t="str">
            <v/>
          </cell>
          <cell r="CK185" t="str">
            <v/>
          </cell>
          <cell r="CL185" t="str">
            <v/>
          </cell>
          <cell r="CM185" t="str">
            <v/>
          </cell>
          <cell r="CN185" t="str">
            <v/>
          </cell>
          <cell r="CO185" t="str">
            <v/>
          </cell>
          <cell r="CP185" t="str">
            <v/>
          </cell>
          <cell r="CQ185" t="str">
            <v/>
          </cell>
          <cell r="CR185" t="str">
            <v/>
          </cell>
          <cell r="CS185" t="str">
            <v/>
          </cell>
          <cell r="CT185" t="str">
            <v/>
          </cell>
          <cell r="CU185" t="str">
            <v/>
          </cell>
          <cell r="CV185" t="str">
            <v/>
          </cell>
          <cell r="CW185" t="str">
            <v/>
          </cell>
          <cell r="CX185" t="str">
            <v/>
          </cell>
          <cell r="CY185" t="str">
            <v/>
          </cell>
          <cell r="CZ185" t="str">
            <v/>
          </cell>
          <cell r="DA185" t="str">
            <v/>
          </cell>
          <cell r="DB185" t="str">
            <v/>
          </cell>
          <cell r="DC185" t="str">
            <v/>
          </cell>
          <cell r="DD185" t="str">
            <v/>
          </cell>
          <cell r="DE185" t="str">
            <v/>
          </cell>
          <cell r="DF185" t="str">
            <v/>
          </cell>
          <cell r="DG185" t="str">
            <v/>
          </cell>
          <cell r="DH185" t="str">
            <v/>
          </cell>
          <cell r="DI185" t="str">
            <v/>
          </cell>
          <cell r="DJ185" t="str">
            <v/>
          </cell>
          <cell r="DK185" t="str">
            <v/>
          </cell>
          <cell r="DL185" t="str">
            <v/>
          </cell>
          <cell r="DM185" t="str">
            <v/>
          </cell>
          <cell r="DN185" t="str">
            <v/>
          </cell>
          <cell r="DO185" t="str">
            <v/>
          </cell>
          <cell r="DP185" t="str">
            <v/>
          </cell>
          <cell r="DQ185" t="str">
            <v/>
          </cell>
          <cell r="DR185" t="str">
            <v/>
          </cell>
          <cell r="DS185" t="str">
            <v/>
          </cell>
          <cell r="DT185" t="str">
            <v/>
          </cell>
          <cell r="DU185" t="str">
            <v/>
          </cell>
          <cell r="DV185" t="str">
            <v/>
          </cell>
          <cell r="DW185" t="str">
            <v/>
          </cell>
          <cell r="DX185" t="str">
            <v/>
          </cell>
          <cell r="DY185" t="str">
            <v/>
          </cell>
          <cell r="DZ185" t="str">
            <v/>
          </cell>
          <cell r="EA185" t="str">
            <v/>
          </cell>
          <cell r="EB185" t="str">
            <v/>
          </cell>
          <cell r="EC185" t="str">
            <v/>
          </cell>
          <cell r="ED185" t="str">
            <v/>
          </cell>
          <cell r="EE185" t="str">
            <v/>
          </cell>
          <cell r="EF185" t="str">
            <v/>
          </cell>
          <cell r="EG185" t="str">
            <v/>
          </cell>
          <cell r="EH185" t="str">
            <v/>
          </cell>
          <cell r="EI185" t="str">
            <v/>
          </cell>
          <cell r="EJ185" t="str">
            <v/>
          </cell>
          <cell r="EK185" t="str">
            <v/>
          </cell>
          <cell r="EL185" t="str">
            <v/>
          </cell>
          <cell r="EM185" t="str">
            <v/>
          </cell>
          <cell r="EN185" t="str">
            <v/>
          </cell>
          <cell r="EO185" t="str">
            <v/>
          </cell>
          <cell r="EP185" t="str">
            <v/>
          </cell>
          <cell r="EQ185" t="str">
            <v/>
          </cell>
          <cell r="ER185" t="str">
            <v/>
          </cell>
          <cell r="ES185" t="str">
            <v/>
          </cell>
          <cell r="ET185" t="str">
            <v/>
          </cell>
          <cell r="EU185" t="str">
            <v/>
          </cell>
          <cell r="EV185" t="str">
            <v/>
          </cell>
          <cell r="EW185" t="str">
            <v/>
          </cell>
        </row>
        <row r="186">
          <cell r="T186" t="str">
            <v>BUDGET FORECAST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</row>
        <row r="187">
          <cell r="T187" t="str">
            <v>BUDGET FORECAST</v>
          </cell>
          <cell r="U187" t="str">
            <v>PRE PROD</v>
          </cell>
          <cell r="V187" t="str">
            <v>PRE PROD</v>
          </cell>
          <cell r="W187">
            <v>30</v>
          </cell>
          <cell r="X187">
            <v>90000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0</v>
          </cell>
          <cell r="FP187">
            <v>0</v>
          </cell>
          <cell r="FQ187">
            <v>0</v>
          </cell>
          <cell r="FR187">
            <v>0</v>
          </cell>
          <cell r="FS187">
            <v>0</v>
          </cell>
          <cell r="FT187">
            <v>0</v>
          </cell>
          <cell r="FU187">
            <v>0</v>
          </cell>
          <cell r="FV187">
            <v>0</v>
          </cell>
          <cell r="FW187">
            <v>0</v>
          </cell>
          <cell r="FX187">
            <v>0</v>
          </cell>
          <cell r="FY187">
            <v>0</v>
          </cell>
          <cell r="FZ187">
            <v>0</v>
          </cell>
          <cell r="GA187">
            <v>0</v>
          </cell>
          <cell r="GB187">
            <v>0</v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  <cell r="FR188">
            <v>0</v>
          </cell>
          <cell r="FS188">
            <v>0</v>
          </cell>
          <cell r="FT188">
            <v>0</v>
          </cell>
          <cell r="FU188">
            <v>0</v>
          </cell>
          <cell r="FV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>
            <v>0</v>
          </cell>
          <cell r="FD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  <cell r="FJ191">
            <v>0</v>
          </cell>
          <cell r="FK191">
            <v>0</v>
          </cell>
          <cell r="FL191">
            <v>0</v>
          </cell>
          <cell r="FM191">
            <v>0</v>
          </cell>
          <cell r="FN191">
            <v>0</v>
          </cell>
          <cell r="FO191">
            <v>0</v>
          </cell>
          <cell r="FP191">
            <v>0</v>
          </cell>
          <cell r="FQ191">
            <v>0</v>
          </cell>
          <cell r="FR191">
            <v>0</v>
          </cell>
          <cell r="FS191">
            <v>0</v>
          </cell>
          <cell r="FT191">
            <v>0</v>
          </cell>
          <cell r="FU191">
            <v>0</v>
          </cell>
          <cell r="FV191">
            <v>0</v>
          </cell>
          <cell r="FW191">
            <v>0</v>
          </cell>
          <cell r="FX191">
            <v>0</v>
          </cell>
          <cell r="FY191">
            <v>0</v>
          </cell>
          <cell r="FZ191">
            <v>0</v>
          </cell>
          <cell r="GA191">
            <v>0</v>
          </cell>
          <cell r="GB191">
            <v>0</v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</row>
        <row r="193">
          <cell r="X193" t="str">
            <v>DIRECT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</row>
        <row r="194">
          <cell r="W194">
            <v>668000</v>
          </cell>
          <cell r="X194" t="str">
            <v>DIRECT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</row>
        <row r="195">
          <cell r="X195" t="str">
            <v>LOADED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</row>
        <row r="196">
          <cell r="T196" t="str">
            <v>ACTUAL COST TO DATE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35870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</row>
        <row r="197">
          <cell r="S197" t="str">
            <v>COST TO DATE</v>
          </cell>
          <cell r="T197" t="str">
            <v>ACTUAL COST TO DATE</v>
          </cell>
          <cell r="U197" t="str">
            <v>DIRECT TO DATE</v>
          </cell>
          <cell r="V197" t="str">
            <v>DIRECT TO DATE</v>
          </cell>
          <cell r="W197" t="str">
            <v>BUDGET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</row>
        <row r="198">
          <cell r="S198" t="str">
            <v>COST TO DATE</v>
          </cell>
          <cell r="T198" t="str">
            <v>DEVELOPMENT</v>
          </cell>
          <cell r="U198" t="str">
            <v>DIRECT TO DATE</v>
          </cell>
          <cell r="V198" t="str">
            <v>DIRECT TO DATE</v>
          </cell>
          <cell r="W198" t="str">
            <v>BUDGET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</row>
        <row r="201">
          <cell r="T201" t="str">
            <v>PRODUCTION</v>
          </cell>
          <cell r="U201">
            <v>0</v>
          </cell>
          <cell r="V201">
            <v>0</v>
          </cell>
          <cell r="W201">
            <v>480000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</row>
        <row r="202">
          <cell r="T202" t="str">
            <v>INK &amp; PAINT</v>
          </cell>
          <cell r="U202">
            <v>0</v>
          </cell>
          <cell r="V202">
            <v>0</v>
          </cell>
          <cell r="W202">
            <v>52000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U203">
            <v>7506.390220422265</v>
          </cell>
          <cell r="V203">
            <v>7506.390220422265</v>
          </cell>
          <cell r="W203">
            <v>0</v>
          </cell>
          <cell r="X203" t="str">
            <v>DIRECT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U204">
            <v>5060.2999793605031</v>
          </cell>
          <cell r="V204">
            <v>5060.2999793605031</v>
          </cell>
          <cell r="W204">
            <v>668000</v>
          </cell>
          <cell r="X204" t="str">
            <v>DIRECT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U205">
            <v>10508.94630859117</v>
          </cell>
          <cell r="V205">
            <v>10508.94630859117</v>
          </cell>
          <cell r="W205">
            <v>668000</v>
          </cell>
          <cell r="X205" t="str">
            <v>LOADED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</row>
        <row r="206">
          <cell r="V206" t="str">
            <v>PROJECTED RTM</v>
          </cell>
          <cell r="W206" t="str">
            <v>CUMULATIVE</v>
          </cell>
          <cell r="X206" t="str">
            <v>CUMULATIVE</v>
          </cell>
          <cell r="Y206">
            <v>126</v>
          </cell>
          <cell r="Z206">
            <v>22.992822222222223</v>
          </cell>
          <cell r="AA206">
            <v>102.54987275001002</v>
          </cell>
          <cell r="AB206">
            <v>102.54987275001002</v>
          </cell>
          <cell r="AC206">
            <v>399.13827522645562</v>
          </cell>
          <cell r="AD206">
            <v>583.15990996859932</v>
          </cell>
          <cell r="AE206">
            <v>1337.7544009772305</v>
          </cell>
          <cell r="AF206">
            <v>2502.5837142222344</v>
          </cell>
          <cell r="AG206">
            <v>3899.7144025220327</v>
          </cell>
          <cell r="AH206">
            <v>4306.5007793605027</v>
          </cell>
          <cell r="AI206">
            <v>5060.2999793605031</v>
          </cell>
          <cell r="AJ206">
            <v>10508.946308591172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W207">
            <v>35937.992822222222</v>
          </cell>
          <cell r="X207">
            <v>35937.992822222222</v>
          </cell>
          <cell r="Y207">
            <v>126</v>
          </cell>
          <cell r="Z207">
            <v>22.992822222222223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</row>
        <row r="208">
          <cell r="V208" t="str">
            <v>PROJECTED STREET</v>
          </cell>
          <cell r="W208">
            <v>35966.992822222222</v>
          </cell>
          <cell r="X208">
            <v>35966.992822222222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</row>
        <row r="209">
          <cell r="V209" t="str">
            <v>+ or - Scheduled Date</v>
          </cell>
          <cell r="W209">
            <v>41.007177777777542</v>
          </cell>
          <cell r="X209">
            <v>41.007177777777542</v>
          </cell>
        </row>
        <row r="210">
          <cell r="N210" t="str">
            <v>ENGINEERING</v>
          </cell>
          <cell r="O210">
            <v>0</v>
          </cell>
          <cell r="P210">
            <v>0</v>
          </cell>
          <cell r="Q210">
            <v>0</v>
          </cell>
          <cell r="R210" t="str">
            <v>CREATIVITY 2</v>
          </cell>
          <cell r="S210" t="str">
            <v>WK Count</v>
          </cell>
          <cell r="T210" t="str">
            <v>Total Days</v>
          </cell>
          <cell r="U210">
            <v>0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O211">
            <v>0</v>
          </cell>
          <cell r="P211">
            <v>0</v>
          </cell>
          <cell r="Q211">
            <v>0</v>
          </cell>
          <cell r="R211" t="str">
            <v>CREATIVITY 2</v>
          </cell>
          <cell r="S211">
            <v>3087.1529999999998</v>
          </cell>
          <cell r="T211" t="str">
            <v>ANIMATION PRODUCTION</v>
          </cell>
          <cell r="U211" t="str">
            <v>Total Days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</row>
        <row r="212">
          <cell r="A212" t="str">
            <v>PREP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 t="str">
            <v>ANIMATION</v>
          </cell>
          <cell r="G212">
            <v>0</v>
          </cell>
          <cell r="H212">
            <v>0</v>
          </cell>
          <cell r="I212" t="str">
            <v>INK &amp; PAINT</v>
          </cell>
          <cell r="J212">
            <v>0</v>
          </cell>
          <cell r="K212">
            <v>0</v>
          </cell>
          <cell r="L212" t="str">
            <v>ALPHA</v>
          </cell>
          <cell r="M212">
            <v>0</v>
          </cell>
          <cell r="N212" t="str">
            <v>BETA</v>
          </cell>
          <cell r="O212">
            <v>0</v>
          </cell>
          <cell r="P212" t="str">
            <v>RTM</v>
          </cell>
          <cell r="Q212">
            <v>0</v>
          </cell>
          <cell r="R212" t="str">
            <v>STREET</v>
          </cell>
          <cell r="S212">
            <v>0</v>
          </cell>
          <cell r="T212" t="str">
            <v>ANIMATION PRODUCTION</v>
          </cell>
          <cell r="U212">
            <v>0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</row>
        <row r="213">
          <cell r="A213" t="str">
            <v>PREP</v>
          </cell>
          <cell r="B213" t="str">
            <v>Days</v>
          </cell>
          <cell r="C213">
            <v>0</v>
          </cell>
          <cell r="D213">
            <v>0</v>
          </cell>
          <cell r="E213">
            <v>0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K213">
            <v>0</v>
          </cell>
          <cell r="L213" t="str">
            <v>ALPHA</v>
          </cell>
          <cell r="M213">
            <v>0</v>
          </cell>
          <cell r="N213" t="str">
            <v>BETA</v>
          </cell>
          <cell r="O213">
            <v>0</v>
          </cell>
          <cell r="P213" t="str">
            <v>RTM</v>
          </cell>
          <cell r="Q213">
            <v>0</v>
          </cell>
          <cell r="R213" t="str">
            <v>STREET</v>
          </cell>
          <cell r="S213">
            <v>0</v>
          </cell>
          <cell r="T213" t="str">
            <v>Prep Projection</v>
          </cell>
          <cell r="U213">
            <v>0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</row>
        <row r="214">
          <cell r="A214" t="str">
            <v>Wks</v>
          </cell>
          <cell r="B214" t="str">
            <v>Days</v>
          </cell>
          <cell r="C214">
            <v>0</v>
          </cell>
          <cell r="D214">
            <v>0</v>
          </cell>
          <cell r="E214">
            <v>0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L214">
            <v>0</v>
          </cell>
          <cell r="M214">
            <v>29</v>
          </cell>
          <cell r="N214">
            <v>0</v>
          </cell>
          <cell r="O214">
            <v>29</v>
          </cell>
          <cell r="P214">
            <v>0</v>
          </cell>
          <cell r="Q214">
            <v>29</v>
          </cell>
          <cell r="R214">
            <v>36100</v>
          </cell>
          <cell r="S214">
            <v>0</v>
          </cell>
          <cell r="T214" t="str">
            <v>Animation Projection</v>
          </cell>
          <cell r="U214">
            <v>0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</row>
        <row r="215">
          <cell r="A215">
            <v>6.1743059999999996</v>
          </cell>
          <cell r="B215">
            <v>57.220141999999996</v>
          </cell>
          <cell r="C215">
            <v>0</v>
          </cell>
          <cell r="D215">
            <v>0</v>
          </cell>
          <cell r="E215">
            <v>0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L215">
            <v>0</v>
          </cell>
          <cell r="M215">
            <v>29</v>
          </cell>
          <cell r="N215">
            <v>0</v>
          </cell>
          <cell r="O215">
            <v>29</v>
          </cell>
          <cell r="P215">
            <v>0</v>
          </cell>
          <cell r="Q215">
            <v>29</v>
          </cell>
          <cell r="R215">
            <v>36100</v>
          </cell>
          <cell r="S215">
            <v>0</v>
          </cell>
          <cell r="T215" t="str">
            <v>Ink &amp; Paint Projection</v>
          </cell>
          <cell r="U215">
            <v>0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</row>
        <row r="216">
          <cell r="V216">
            <v>35956</v>
          </cell>
          <cell r="W216">
            <v>36013.220141999998</v>
          </cell>
          <cell r="X216">
            <v>500</v>
          </cell>
          <cell r="Y216">
            <v>8</v>
          </cell>
          <cell r="Z216">
            <v>57.220141999999996</v>
          </cell>
          <cell r="AA216" t="str">
            <v/>
          </cell>
          <cell r="AB216" t="str">
            <v/>
          </cell>
          <cell r="AC216" t="str">
            <v/>
          </cell>
          <cell r="AD216" t="str">
            <v/>
          </cell>
          <cell r="AE216" t="str">
            <v/>
          </cell>
          <cell r="AF216" t="str">
            <v/>
          </cell>
          <cell r="AG216" t="str">
            <v/>
          </cell>
          <cell r="AH216" t="str">
            <v/>
          </cell>
          <cell r="AI216" t="str">
            <v/>
          </cell>
          <cell r="AJ216" t="str">
            <v/>
          </cell>
          <cell r="AK216" t="str">
            <v/>
          </cell>
          <cell r="AL216" t="str">
            <v/>
          </cell>
          <cell r="AM216" t="str">
            <v/>
          </cell>
          <cell r="AN216" t="str">
            <v/>
          </cell>
          <cell r="AO216" t="str">
            <v/>
          </cell>
          <cell r="AP216" t="str">
            <v/>
          </cell>
          <cell r="AQ216" t="str">
            <v/>
          </cell>
          <cell r="AR216" t="str">
            <v/>
          </cell>
          <cell r="AS216" t="str">
            <v/>
          </cell>
          <cell r="AT216" t="str">
            <v/>
          </cell>
          <cell r="AU216" t="str">
            <v/>
          </cell>
          <cell r="AV216" t="str">
            <v/>
          </cell>
          <cell r="AW216" t="str">
            <v/>
          </cell>
          <cell r="AX216" t="str">
            <v/>
          </cell>
          <cell r="AY216" t="str">
            <v/>
          </cell>
          <cell r="AZ216" t="str">
            <v/>
          </cell>
          <cell r="BA216" t="str">
            <v/>
          </cell>
          <cell r="BB216" t="str">
            <v/>
          </cell>
          <cell r="BC216" t="str">
            <v/>
          </cell>
          <cell r="BD216" t="str">
            <v/>
          </cell>
          <cell r="BE216" t="str">
            <v/>
          </cell>
          <cell r="BF216" t="str">
            <v/>
          </cell>
          <cell r="BG216" t="str">
            <v/>
          </cell>
          <cell r="BH216" t="str">
            <v/>
          </cell>
          <cell r="BI216" t="str">
            <v/>
          </cell>
          <cell r="BJ216" t="str">
            <v/>
          </cell>
          <cell r="BK216" t="str">
            <v/>
          </cell>
          <cell r="BL216" t="str">
            <v/>
          </cell>
          <cell r="BM216" t="str">
            <v/>
          </cell>
          <cell r="BN216" t="str">
            <v/>
          </cell>
          <cell r="BO216" t="str">
            <v/>
          </cell>
          <cell r="BP216" t="str">
            <v/>
          </cell>
          <cell r="BQ216" t="str">
            <v/>
          </cell>
          <cell r="BR216" t="str">
            <v/>
          </cell>
          <cell r="BS216" t="str">
            <v/>
          </cell>
          <cell r="BT216" t="str">
            <v/>
          </cell>
          <cell r="BU216" t="str">
            <v/>
          </cell>
          <cell r="BV216" t="str">
            <v/>
          </cell>
          <cell r="BW216" t="str">
            <v/>
          </cell>
          <cell r="BX216" t="str">
            <v/>
          </cell>
          <cell r="BY216" t="str">
            <v/>
          </cell>
          <cell r="BZ216" t="str">
            <v/>
          </cell>
          <cell r="CA216" t="str">
            <v/>
          </cell>
          <cell r="CB216" t="str">
            <v/>
          </cell>
          <cell r="CC216" t="str">
            <v/>
          </cell>
          <cell r="CD216" t="str">
            <v/>
          </cell>
          <cell r="CE216" t="str">
            <v/>
          </cell>
          <cell r="CF216" t="str">
            <v/>
          </cell>
          <cell r="CG216">
            <v>125</v>
          </cell>
          <cell r="CH216">
            <v>250</v>
          </cell>
          <cell r="CI216">
            <v>375</v>
          </cell>
          <cell r="CJ216">
            <v>500</v>
          </cell>
          <cell r="CK216">
            <v>500</v>
          </cell>
          <cell r="CL216">
            <v>500</v>
          </cell>
          <cell r="CM216">
            <v>500</v>
          </cell>
          <cell r="CN216">
            <v>500</v>
          </cell>
          <cell r="CO216" t="str">
            <v/>
          </cell>
          <cell r="CP216" t="str">
            <v/>
          </cell>
          <cell r="CQ216" t="str">
            <v/>
          </cell>
          <cell r="CR216" t="str">
            <v/>
          </cell>
          <cell r="CS216" t="str">
            <v/>
          </cell>
          <cell r="CT216" t="str">
            <v/>
          </cell>
          <cell r="CU216" t="str">
            <v/>
          </cell>
          <cell r="CV216" t="str">
            <v/>
          </cell>
          <cell r="CW216" t="str">
            <v/>
          </cell>
          <cell r="CX216" t="str">
            <v/>
          </cell>
          <cell r="CY216" t="str">
            <v/>
          </cell>
          <cell r="CZ216" t="str">
            <v/>
          </cell>
          <cell r="DA216" t="str">
            <v/>
          </cell>
          <cell r="DB216" t="str">
            <v/>
          </cell>
          <cell r="DC216" t="str">
            <v/>
          </cell>
          <cell r="DD216" t="str">
            <v/>
          </cell>
          <cell r="DE216" t="str">
            <v/>
          </cell>
          <cell r="DF216" t="str">
            <v/>
          </cell>
          <cell r="DG216" t="str">
            <v/>
          </cell>
          <cell r="DH216" t="str">
            <v/>
          </cell>
          <cell r="DI216" t="str">
            <v/>
          </cell>
          <cell r="DJ216" t="str">
            <v/>
          </cell>
          <cell r="DK216" t="str">
            <v/>
          </cell>
          <cell r="DL216" t="str">
            <v/>
          </cell>
          <cell r="DM216" t="str">
            <v/>
          </cell>
          <cell r="DN216" t="str">
            <v/>
          </cell>
          <cell r="DO216" t="str">
            <v/>
          </cell>
          <cell r="DP216" t="str">
            <v/>
          </cell>
          <cell r="DQ216" t="str">
            <v/>
          </cell>
          <cell r="DR216" t="str">
            <v/>
          </cell>
          <cell r="DS216" t="str">
            <v/>
          </cell>
          <cell r="DT216" t="str">
            <v/>
          </cell>
          <cell r="DU216" t="str">
            <v/>
          </cell>
          <cell r="DV216" t="str">
            <v/>
          </cell>
          <cell r="DW216" t="str">
            <v/>
          </cell>
          <cell r="DX216" t="str">
            <v/>
          </cell>
          <cell r="DY216" t="str">
            <v/>
          </cell>
          <cell r="DZ216" t="str">
            <v/>
          </cell>
          <cell r="EA216" t="str">
            <v/>
          </cell>
          <cell r="EB216" t="str">
            <v/>
          </cell>
          <cell r="EC216" t="str">
            <v/>
          </cell>
          <cell r="ED216" t="str">
            <v/>
          </cell>
          <cell r="EE216" t="str">
            <v/>
          </cell>
          <cell r="EF216" t="str">
            <v/>
          </cell>
          <cell r="EG216" t="str">
            <v/>
          </cell>
          <cell r="EH216" t="str">
            <v/>
          </cell>
          <cell r="EI216" t="str">
            <v/>
          </cell>
          <cell r="EJ216" t="str">
            <v/>
          </cell>
          <cell r="EK216" t="str">
            <v/>
          </cell>
          <cell r="EL216" t="str">
            <v/>
          </cell>
          <cell r="EM216" t="str">
            <v/>
          </cell>
          <cell r="EN216" t="str">
            <v/>
          </cell>
          <cell r="EO216" t="str">
            <v/>
          </cell>
          <cell r="EP216" t="str">
            <v/>
          </cell>
          <cell r="EQ216" t="str">
            <v/>
          </cell>
          <cell r="ER216" t="str">
            <v/>
          </cell>
          <cell r="ES216" t="str">
            <v/>
          </cell>
          <cell r="ET216" t="str">
            <v/>
          </cell>
          <cell r="EU216" t="str">
            <v/>
          </cell>
          <cell r="EV216" t="str">
            <v/>
          </cell>
        </row>
        <row r="217">
          <cell r="T217" t="str">
            <v>BUDGET FORECAST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  <cell r="FJ217">
            <v>0</v>
          </cell>
          <cell r="FK217">
            <v>0</v>
          </cell>
          <cell r="FL217">
            <v>0</v>
          </cell>
          <cell r="FM217">
            <v>0</v>
          </cell>
          <cell r="FN217">
            <v>0</v>
          </cell>
          <cell r="FO217">
            <v>0</v>
          </cell>
          <cell r="FP217">
            <v>0</v>
          </cell>
          <cell r="FQ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W217">
            <v>0</v>
          </cell>
          <cell r="FX217">
            <v>0</v>
          </cell>
        </row>
        <row r="218">
          <cell r="T218" t="str">
            <v>BUDGET FORECAST</v>
          </cell>
          <cell r="U218" t="str">
            <v>PRE PROD</v>
          </cell>
          <cell r="V218" t="str">
            <v>PRE PROD</v>
          </cell>
          <cell r="W218">
            <v>30</v>
          </cell>
          <cell r="X218">
            <v>112500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  <cell r="FJ218">
            <v>0</v>
          </cell>
          <cell r="FK218">
            <v>0</v>
          </cell>
          <cell r="FL218">
            <v>0</v>
          </cell>
          <cell r="FM218">
            <v>0</v>
          </cell>
          <cell r="FN218">
            <v>0</v>
          </cell>
          <cell r="FO218">
            <v>0</v>
          </cell>
          <cell r="FP218">
            <v>0</v>
          </cell>
          <cell r="FQ218">
            <v>0</v>
          </cell>
          <cell r="FR218">
            <v>0</v>
          </cell>
          <cell r="FS218">
            <v>0</v>
          </cell>
          <cell r="FT218">
            <v>0</v>
          </cell>
          <cell r="FU218">
            <v>0</v>
          </cell>
          <cell r="FV218">
            <v>0</v>
          </cell>
          <cell r="FW218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>
            <v>0</v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  <cell r="FJ221">
            <v>0</v>
          </cell>
          <cell r="FK221">
            <v>0</v>
          </cell>
          <cell r="FL221">
            <v>0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>
            <v>0</v>
          </cell>
          <cell r="FS221">
            <v>0</v>
          </cell>
          <cell r="FT221">
            <v>0</v>
          </cell>
          <cell r="FU221">
            <v>0</v>
          </cell>
          <cell r="FV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</row>
        <row r="224">
          <cell r="X224" t="str">
            <v>DIRECT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</row>
        <row r="225">
          <cell r="X225" t="str">
            <v>DIRECT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K225">
            <v>0</v>
          </cell>
          <cell r="FL225">
            <v>0</v>
          </cell>
          <cell r="FM225">
            <v>0</v>
          </cell>
          <cell r="FN225">
            <v>0</v>
          </cell>
          <cell r="FO225">
            <v>0</v>
          </cell>
          <cell r="FP225">
            <v>0</v>
          </cell>
          <cell r="FQ225">
            <v>0</v>
          </cell>
          <cell r="FR225">
            <v>0</v>
          </cell>
          <cell r="FS225">
            <v>0</v>
          </cell>
          <cell r="FT225">
            <v>0</v>
          </cell>
          <cell r="FU225">
            <v>0</v>
          </cell>
          <cell r="FV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</row>
        <row r="226">
          <cell r="X226" t="str">
            <v>LOADED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</row>
        <row r="227">
          <cell r="V227" t="str">
            <v>PROJECTED RTM</v>
          </cell>
          <cell r="W227" t="str">
            <v>CUMULATIVE TO DATE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</row>
        <row r="228">
          <cell r="V228" t="str">
            <v>PROJECTED RTM</v>
          </cell>
          <cell r="W228">
            <v>36092.220141999998</v>
          </cell>
          <cell r="X228">
            <v>36092.220141999998</v>
          </cell>
          <cell r="Y228">
            <v>119</v>
          </cell>
          <cell r="Z228">
            <v>43.220141999999996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</row>
        <row r="229">
          <cell r="V229" t="str">
            <v>PROJECTED STREET</v>
          </cell>
          <cell r="W229">
            <v>36122.220141999998</v>
          </cell>
          <cell r="X229">
            <v>36122.220141999998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</row>
        <row r="230">
          <cell r="V230" t="str">
            <v>+ or - Scheduled Date</v>
          </cell>
          <cell r="W230">
            <v>-22.220141999998305</v>
          </cell>
          <cell r="X230">
            <v>-22.220141999998305</v>
          </cell>
        </row>
        <row r="231">
          <cell r="N231" t="str">
            <v>ENGINEERING</v>
          </cell>
          <cell r="O231">
            <v>0</v>
          </cell>
          <cell r="P231">
            <v>0</v>
          </cell>
          <cell r="Q231">
            <v>0</v>
          </cell>
          <cell r="R231" t="str">
            <v>LEARNING QUEST II</v>
          </cell>
          <cell r="S231" t="str">
            <v>WK Count</v>
          </cell>
          <cell r="T231" t="str">
            <v>Total Days</v>
          </cell>
          <cell r="U231">
            <v>0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O232">
            <v>0</v>
          </cell>
          <cell r="P232">
            <v>0</v>
          </cell>
          <cell r="Q232">
            <v>0</v>
          </cell>
          <cell r="R232" t="str">
            <v>LEARNING QUEST II</v>
          </cell>
          <cell r="S232">
            <v>7000</v>
          </cell>
          <cell r="T232" t="str">
            <v>ANIMATION PRODUCTION</v>
          </cell>
          <cell r="U232" t="str">
            <v>Total Days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</row>
        <row r="233">
          <cell r="A233" t="str">
            <v>PREP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 t="str">
            <v>ANIMATION</v>
          </cell>
          <cell r="G233">
            <v>0</v>
          </cell>
          <cell r="H233">
            <v>0</v>
          </cell>
          <cell r="I233" t="str">
            <v>INK &amp; PAINT</v>
          </cell>
          <cell r="J233">
            <v>0</v>
          </cell>
          <cell r="K233">
            <v>0</v>
          </cell>
          <cell r="L233" t="str">
            <v>ALPHA</v>
          </cell>
          <cell r="M233">
            <v>0</v>
          </cell>
          <cell r="N233" t="str">
            <v>BETA</v>
          </cell>
          <cell r="O233">
            <v>0</v>
          </cell>
          <cell r="P233" t="str">
            <v>RTM</v>
          </cell>
          <cell r="Q233">
            <v>0</v>
          </cell>
          <cell r="R233" t="str">
            <v>STREET</v>
          </cell>
          <cell r="S233">
            <v>0</v>
          </cell>
          <cell r="T233" t="str">
            <v>ANIMATION PRODUCTION</v>
          </cell>
          <cell r="U233">
            <v>0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</row>
        <row r="234">
          <cell r="A234" t="str">
            <v>PREP</v>
          </cell>
          <cell r="B234" t="str">
            <v>Days</v>
          </cell>
          <cell r="C234">
            <v>0</v>
          </cell>
          <cell r="D234">
            <v>0</v>
          </cell>
          <cell r="E234">
            <v>0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K234">
            <v>0</v>
          </cell>
          <cell r="L234" t="str">
            <v>ALPHA</v>
          </cell>
          <cell r="M234">
            <v>0</v>
          </cell>
          <cell r="N234" t="str">
            <v>BETA</v>
          </cell>
          <cell r="O234">
            <v>0</v>
          </cell>
          <cell r="P234" t="str">
            <v>RTM</v>
          </cell>
          <cell r="Q234">
            <v>0</v>
          </cell>
          <cell r="R234" t="str">
            <v>STREET</v>
          </cell>
          <cell r="S234">
            <v>0</v>
          </cell>
          <cell r="T234" t="str">
            <v>Prep Projection</v>
          </cell>
          <cell r="U234">
            <v>0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</row>
        <row r="235">
          <cell r="A235" t="str">
            <v>Wks</v>
          </cell>
          <cell r="B235" t="str">
            <v>Days</v>
          </cell>
          <cell r="C235">
            <v>0</v>
          </cell>
          <cell r="D235">
            <v>0</v>
          </cell>
          <cell r="E235">
            <v>0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L235">
            <v>0</v>
          </cell>
          <cell r="M235">
            <v>29</v>
          </cell>
          <cell r="N235">
            <v>0</v>
          </cell>
          <cell r="O235">
            <v>29</v>
          </cell>
          <cell r="P235">
            <v>0</v>
          </cell>
          <cell r="Q235">
            <v>29</v>
          </cell>
          <cell r="R235">
            <v>36312</v>
          </cell>
          <cell r="S235">
            <v>0</v>
          </cell>
          <cell r="T235" t="str">
            <v>Animation Projection</v>
          </cell>
          <cell r="U235">
            <v>0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</row>
        <row r="236">
          <cell r="A236">
            <v>14</v>
          </cell>
          <cell r="B236">
            <v>112</v>
          </cell>
          <cell r="C236">
            <v>0</v>
          </cell>
          <cell r="D236">
            <v>0</v>
          </cell>
          <cell r="E236">
            <v>0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L236">
            <v>0</v>
          </cell>
          <cell r="M236">
            <v>29</v>
          </cell>
          <cell r="N236">
            <v>0</v>
          </cell>
          <cell r="O236">
            <v>29</v>
          </cell>
          <cell r="P236">
            <v>0</v>
          </cell>
          <cell r="Q236">
            <v>29</v>
          </cell>
          <cell r="R236">
            <v>36312</v>
          </cell>
          <cell r="S236">
            <v>0</v>
          </cell>
          <cell r="T236" t="str">
            <v>Ink &amp; Paint Projection</v>
          </cell>
          <cell r="U236">
            <v>0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</row>
        <row r="237">
          <cell r="V237">
            <v>35963</v>
          </cell>
          <cell r="W237">
            <v>36075</v>
          </cell>
          <cell r="X237">
            <v>500</v>
          </cell>
          <cell r="Y237">
            <v>16</v>
          </cell>
          <cell r="Z237">
            <v>112</v>
          </cell>
          <cell r="AA237" t="str">
            <v/>
          </cell>
          <cell r="AB237" t="str">
            <v/>
          </cell>
          <cell r="AC237" t="str">
            <v/>
          </cell>
          <cell r="AD237" t="str">
            <v/>
          </cell>
          <cell r="AE237" t="str">
            <v/>
          </cell>
          <cell r="AF237" t="str">
            <v/>
          </cell>
          <cell r="AG237" t="str">
            <v/>
          </cell>
          <cell r="AH237" t="str">
            <v/>
          </cell>
          <cell r="AI237" t="str">
            <v/>
          </cell>
          <cell r="AJ237" t="str">
            <v/>
          </cell>
          <cell r="AK237" t="str">
            <v/>
          </cell>
          <cell r="AL237" t="str">
            <v/>
          </cell>
          <cell r="AM237" t="str">
            <v/>
          </cell>
          <cell r="AN237" t="str">
            <v/>
          </cell>
          <cell r="AO237" t="str">
            <v/>
          </cell>
          <cell r="AP237" t="str">
            <v/>
          </cell>
          <cell r="AQ237" t="str">
            <v/>
          </cell>
          <cell r="AR237" t="str">
            <v/>
          </cell>
          <cell r="AS237" t="str">
            <v/>
          </cell>
          <cell r="AT237" t="str">
            <v/>
          </cell>
          <cell r="AU237" t="str">
            <v/>
          </cell>
          <cell r="AV237" t="str">
            <v/>
          </cell>
          <cell r="AW237" t="str">
            <v/>
          </cell>
          <cell r="AX237" t="str">
            <v/>
          </cell>
          <cell r="AY237" t="str">
            <v/>
          </cell>
          <cell r="AZ237" t="str">
            <v/>
          </cell>
          <cell r="BA237" t="str">
            <v/>
          </cell>
          <cell r="BB237" t="str">
            <v/>
          </cell>
          <cell r="BC237" t="str">
            <v/>
          </cell>
          <cell r="BD237" t="str">
            <v/>
          </cell>
          <cell r="BE237" t="str">
            <v/>
          </cell>
          <cell r="BF237" t="str">
            <v/>
          </cell>
          <cell r="BG237" t="str">
            <v/>
          </cell>
          <cell r="BH237" t="str">
            <v/>
          </cell>
          <cell r="BI237" t="str">
            <v/>
          </cell>
          <cell r="BJ237" t="str">
            <v/>
          </cell>
          <cell r="BK237" t="str">
            <v/>
          </cell>
          <cell r="BL237" t="str">
            <v/>
          </cell>
          <cell r="BM237" t="str">
            <v/>
          </cell>
          <cell r="BN237" t="str">
            <v/>
          </cell>
          <cell r="BO237" t="str">
            <v/>
          </cell>
          <cell r="BP237" t="str">
            <v/>
          </cell>
          <cell r="BQ237" t="str">
            <v/>
          </cell>
          <cell r="BR237" t="str">
            <v/>
          </cell>
          <cell r="BS237" t="str">
            <v/>
          </cell>
          <cell r="BT237" t="str">
            <v/>
          </cell>
          <cell r="BU237" t="str">
            <v/>
          </cell>
          <cell r="BV237" t="str">
            <v/>
          </cell>
          <cell r="BW237" t="str">
            <v/>
          </cell>
          <cell r="BX237" t="str">
            <v/>
          </cell>
          <cell r="BY237" t="str">
            <v/>
          </cell>
          <cell r="BZ237" t="str">
            <v/>
          </cell>
          <cell r="CA237" t="str">
            <v/>
          </cell>
          <cell r="CB237" t="str">
            <v/>
          </cell>
          <cell r="CC237" t="str">
            <v/>
          </cell>
          <cell r="CD237" t="str">
            <v/>
          </cell>
          <cell r="CE237" t="str">
            <v/>
          </cell>
          <cell r="CF237" t="str">
            <v/>
          </cell>
          <cell r="CG237" t="str">
            <v/>
          </cell>
          <cell r="CH237">
            <v>125</v>
          </cell>
          <cell r="CI237">
            <v>250</v>
          </cell>
          <cell r="CJ237">
            <v>375</v>
          </cell>
          <cell r="CK237">
            <v>500</v>
          </cell>
          <cell r="CL237">
            <v>500</v>
          </cell>
          <cell r="CM237">
            <v>500</v>
          </cell>
          <cell r="CN237">
            <v>500</v>
          </cell>
          <cell r="CO237">
            <v>500</v>
          </cell>
          <cell r="CP237">
            <v>500</v>
          </cell>
          <cell r="CQ237">
            <v>500</v>
          </cell>
          <cell r="CR237">
            <v>500</v>
          </cell>
          <cell r="CS237">
            <v>500</v>
          </cell>
          <cell r="CT237">
            <v>500</v>
          </cell>
          <cell r="CU237">
            <v>500</v>
          </cell>
          <cell r="CV237">
            <v>500</v>
          </cell>
          <cell r="CW237">
            <v>500</v>
          </cell>
          <cell r="CX237" t="str">
            <v/>
          </cell>
          <cell r="CY237" t="str">
            <v/>
          </cell>
          <cell r="CZ237" t="str">
            <v/>
          </cell>
          <cell r="DA237" t="str">
            <v/>
          </cell>
          <cell r="DB237" t="str">
            <v/>
          </cell>
          <cell r="DC237" t="str">
            <v/>
          </cell>
          <cell r="DD237" t="str">
            <v/>
          </cell>
          <cell r="DE237" t="str">
            <v/>
          </cell>
          <cell r="DF237" t="str">
            <v/>
          </cell>
          <cell r="DG237" t="str">
            <v/>
          </cell>
          <cell r="DH237" t="str">
            <v/>
          </cell>
          <cell r="DI237" t="str">
            <v/>
          </cell>
          <cell r="DJ237" t="str">
            <v/>
          </cell>
          <cell r="DK237" t="str">
            <v/>
          </cell>
          <cell r="DL237" t="str">
            <v/>
          </cell>
          <cell r="DM237" t="str">
            <v/>
          </cell>
          <cell r="DN237" t="str">
            <v/>
          </cell>
          <cell r="DO237" t="str">
            <v/>
          </cell>
          <cell r="DP237" t="str">
            <v/>
          </cell>
          <cell r="DQ237" t="str">
            <v/>
          </cell>
          <cell r="DR237" t="str">
            <v/>
          </cell>
          <cell r="DS237" t="str">
            <v/>
          </cell>
          <cell r="DT237" t="str">
            <v/>
          </cell>
          <cell r="DU237" t="str">
            <v/>
          </cell>
          <cell r="DV237" t="str">
            <v/>
          </cell>
          <cell r="DW237" t="str">
            <v/>
          </cell>
          <cell r="DX237" t="str">
            <v/>
          </cell>
          <cell r="DY237" t="str">
            <v/>
          </cell>
          <cell r="DZ237" t="str">
            <v/>
          </cell>
          <cell r="EA237" t="str">
            <v/>
          </cell>
          <cell r="EB237" t="str">
            <v/>
          </cell>
          <cell r="EC237" t="str">
            <v/>
          </cell>
          <cell r="ED237" t="str">
            <v/>
          </cell>
          <cell r="EE237" t="str">
            <v/>
          </cell>
          <cell r="EF237" t="str">
            <v/>
          </cell>
          <cell r="EG237" t="str">
            <v/>
          </cell>
          <cell r="EH237" t="str">
            <v/>
          </cell>
          <cell r="EI237" t="str">
            <v/>
          </cell>
          <cell r="EJ237" t="str">
            <v/>
          </cell>
          <cell r="EK237" t="str">
            <v/>
          </cell>
          <cell r="EL237" t="str">
            <v/>
          </cell>
          <cell r="EM237" t="str">
            <v/>
          </cell>
          <cell r="EN237" t="str">
            <v/>
          </cell>
          <cell r="EO237" t="str">
            <v/>
          </cell>
          <cell r="EP237" t="str">
            <v/>
          </cell>
          <cell r="EQ237" t="str">
            <v/>
          </cell>
          <cell r="ER237" t="str">
            <v/>
          </cell>
          <cell r="ES237" t="str">
            <v/>
          </cell>
          <cell r="ET237" t="str">
            <v/>
          </cell>
          <cell r="EU237" t="str">
            <v/>
          </cell>
          <cell r="EV237" t="str">
            <v/>
          </cell>
        </row>
        <row r="238">
          <cell r="T238" t="str">
            <v>BUDGET FORECAST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K238">
            <v>0</v>
          </cell>
          <cell r="FL238">
            <v>0</v>
          </cell>
          <cell r="FM238">
            <v>0</v>
          </cell>
          <cell r="FN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</row>
        <row r="239">
          <cell r="T239" t="str">
            <v>BUDGET FORECAST</v>
          </cell>
          <cell r="U239" t="str">
            <v>PRE PROD</v>
          </cell>
          <cell r="V239" t="str">
            <v>PRE PROD</v>
          </cell>
          <cell r="W239">
            <v>30</v>
          </cell>
          <cell r="X239">
            <v>217500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G241">
            <v>0</v>
          </cell>
          <cell r="EH241">
            <v>0</v>
          </cell>
          <cell r="EI241">
            <v>0</v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K241">
            <v>0</v>
          </cell>
          <cell r="FL241">
            <v>0</v>
          </cell>
          <cell r="FM241">
            <v>0</v>
          </cell>
          <cell r="FN241">
            <v>0</v>
          </cell>
          <cell r="FO241">
            <v>0</v>
          </cell>
          <cell r="FP241">
            <v>0</v>
          </cell>
          <cell r="FQ241">
            <v>0</v>
          </cell>
          <cell r="FR241">
            <v>0</v>
          </cell>
          <cell r="FS241">
            <v>0</v>
          </cell>
          <cell r="FT241">
            <v>0</v>
          </cell>
          <cell r="FU241">
            <v>0</v>
          </cell>
          <cell r="FV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G242">
            <v>0</v>
          </cell>
          <cell r="EH242">
            <v>0</v>
          </cell>
          <cell r="EI242">
            <v>0</v>
          </cell>
          <cell r="EJ242">
            <v>0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  <cell r="FJ242">
            <v>0</v>
          </cell>
          <cell r="FK242">
            <v>0</v>
          </cell>
          <cell r="FL242">
            <v>0</v>
          </cell>
          <cell r="FM242">
            <v>0</v>
          </cell>
          <cell r="FN242">
            <v>0</v>
          </cell>
          <cell r="FO242">
            <v>0</v>
          </cell>
          <cell r="FP242">
            <v>0</v>
          </cell>
          <cell r="FQ242">
            <v>0</v>
          </cell>
          <cell r="FR242">
            <v>0</v>
          </cell>
          <cell r="FS242">
            <v>0</v>
          </cell>
          <cell r="FT242">
            <v>0</v>
          </cell>
          <cell r="FU242">
            <v>0</v>
          </cell>
          <cell r="FV242">
            <v>0</v>
          </cell>
          <cell r="FW242">
            <v>0</v>
          </cell>
          <cell r="FX242">
            <v>0</v>
          </cell>
          <cell r="FY242">
            <v>0</v>
          </cell>
          <cell r="FZ242">
            <v>0</v>
          </cell>
          <cell r="GA242">
            <v>0</v>
          </cell>
          <cell r="GB242">
            <v>0</v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J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  <cell r="FJ243">
            <v>0</v>
          </cell>
          <cell r="FK243">
            <v>0</v>
          </cell>
          <cell r="FL243">
            <v>0</v>
          </cell>
          <cell r="FM243">
            <v>0</v>
          </cell>
          <cell r="FN243">
            <v>0</v>
          </cell>
          <cell r="FO243">
            <v>0</v>
          </cell>
          <cell r="FP243">
            <v>0</v>
          </cell>
          <cell r="FQ243">
            <v>0</v>
          </cell>
          <cell r="FR243">
            <v>0</v>
          </cell>
          <cell r="FS243">
            <v>0</v>
          </cell>
          <cell r="FT243">
            <v>0</v>
          </cell>
          <cell r="FU243">
            <v>0</v>
          </cell>
          <cell r="FV243">
            <v>0</v>
          </cell>
          <cell r="FW243">
            <v>0</v>
          </cell>
          <cell r="FX243">
            <v>0</v>
          </cell>
          <cell r="FY243">
            <v>0</v>
          </cell>
          <cell r="FZ243">
            <v>0</v>
          </cell>
          <cell r="GA243">
            <v>0</v>
          </cell>
          <cell r="GB243">
            <v>0</v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G244">
            <v>0</v>
          </cell>
          <cell r="EH244">
            <v>0</v>
          </cell>
          <cell r="EI244">
            <v>0</v>
          </cell>
          <cell r="EJ244">
            <v>0</v>
          </cell>
          <cell r="EK244">
            <v>0</v>
          </cell>
          <cell r="EL244">
            <v>0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  <cell r="FJ244">
            <v>0</v>
          </cell>
          <cell r="FK244">
            <v>0</v>
          </cell>
          <cell r="FL244">
            <v>0</v>
          </cell>
          <cell r="FM244">
            <v>0</v>
          </cell>
          <cell r="FN244">
            <v>0</v>
          </cell>
          <cell r="FO244">
            <v>0</v>
          </cell>
          <cell r="FP244">
            <v>0</v>
          </cell>
          <cell r="FQ244">
            <v>0</v>
          </cell>
          <cell r="FR244">
            <v>0</v>
          </cell>
          <cell r="FS244">
            <v>0</v>
          </cell>
          <cell r="FT244">
            <v>0</v>
          </cell>
          <cell r="FU244">
            <v>0</v>
          </cell>
          <cell r="FV244">
            <v>0</v>
          </cell>
          <cell r="FW244">
            <v>0</v>
          </cell>
          <cell r="FX244">
            <v>0</v>
          </cell>
          <cell r="FY244">
            <v>0</v>
          </cell>
          <cell r="FZ244">
            <v>0</v>
          </cell>
          <cell r="GA244">
            <v>0</v>
          </cell>
          <cell r="GB244">
            <v>0</v>
          </cell>
        </row>
        <row r="245">
          <cell r="X245" t="str">
            <v>DIRECT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0</v>
          </cell>
          <cell r="FP245">
            <v>0</v>
          </cell>
          <cell r="FQ245">
            <v>0</v>
          </cell>
          <cell r="FR245">
            <v>0</v>
          </cell>
          <cell r="FS245">
            <v>0</v>
          </cell>
          <cell r="FT245">
            <v>0</v>
          </cell>
          <cell r="FU245">
            <v>0</v>
          </cell>
          <cell r="FV245">
            <v>0</v>
          </cell>
          <cell r="FW245">
            <v>0</v>
          </cell>
          <cell r="FX245">
            <v>0</v>
          </cell>
          <cell r="FY245">
            <v>0</v>
          </cell>
          <cell r="FZ245">
            <v>0</v>
          </cell>
          <cell r="GA245">
            <v>0</v>
          </cell>
          <cell r="GB245">
            <v>0</v>
          </cell>
        </row>
        <row r="246">
          <cell r="X246" t="str">
            <v>DIRECT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0</v>
          </cell>
          <cell r="FP246">
            <v>0</v>
          </cell>
          <cell r="FQ246">
            <v>0</v>
          </cell>
          <cell r="FR246">
            <v>0</v>
          </cell>
          <cell r="FS246">
            <v>0</v>
          </cell>
          <cell r="FT246">
            <v>0</v>
          </cell>
          <cell r="FU246">
            <v>0</v>
          </cell>
          <cell r="FV246">
            <v>0</v>
          </cell>
          <cell r="FW246">
            <v>0</v>
          </cell>
          <cell r="FX246">
            <v>0</v>
          </cell>
          <cell r="FY246">
            <v>0</v>
          </cell>
          <cell r="FZ246">
            <v>0</v>
          </cell>
          <cell r="GA246">
            <v>0</v>
          </cell>
          <cell r="GB246">
            <v>0</v>
          </cell>
        </row>
        <row r="247">
          <cell r="X247" t="str">
            <v>LOADED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</row>
        <row r="248">
          <cell r="V248" t="str">
            <v>PROJECTED RTM</v>
          </cell>
          <cell r="W248" t="str">
            <v>CUMULATIVE TO DATE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  <cell r="FJ248">
            <v>0</v>
          </cell>
          <cell r="FK248">
            <v>0</v>
          </cell>
          <cell r="FL248">
            <v>0</v>
          </cell>
          <cell r="FM248">
            <v>0</v>
          </cell>
          <cell r="FN248">
            <v>0</v>
          </cell>
          <cell r="FO248">
            <v>0</v>
          </cell>
          <cell r="FP248">
            <v>0</v>
          </cell>
          <cell r="FQ248">
            <v>0</v>
          </cell>
          <cell r="FR248">
            <v>0</v>
          </cell>
          <cell r="FS248">
            <v>0</v>
          </cell>
          <cell r="FT248">
            <v>0</v>
          </cell>
          <cell r="FU248">
            <v>0</v>
          </cell>
          <cell r="FV248">
            <v>0</v>
          </cell>
          <cell r="FW248">
            <v>0</v>
          </cell>
          <cell r="FX248">
            <v>0</v>
          </cell>
          <cell r="FY248">
            <v>0</v>
          </cell>
          <cell r="FZ248">
            <v>0</v>
          </cell>
        </row>
        <row r="249">
          <cell r="V249" t="str">
            <v>PROJECTED RTM</v>
          </cell>
          <cell r="W249">
            <v>36154</v>
          </cell>
          <cell r="X249">
            <v>36154</v>
          </cell>
          <cell r="Y249">
            <v>175</v>
          </cell>
          <cell r="Z249">
            <v>98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</row>
        <row r="250">
          <cell r="V250" t="str">
            <v>PROJECTED STREET</v>
          </cell>
          <cell r="W250">
            <v>36184</v>
          </cell>
          <cell r="X250">
            <v>36184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</row>
        <row r="251">
          <cell r="V251" t="str">
            <v>+ or - Scheduled Date</v>
          </cell>
          <cell r="W251">
            <v>128</v>
          </cell>
          <cell r="X251">
            <v>128</v>
          </cell>
        </row>
        <row r="252">
          <cell r="N252" t="str">
            <v>ENGINEERING</v>
          </cell>
          <cell r="O252">
            <v>0</v>
          </cell>
          <cell r="P252">
            <v>0</v>
          </cell>
          <cell r="Q252">
            <v>0</v>
          </cell>
          <cell r="R252" t="str">
            <v>TARZAN STORY STUDIO</v>
          </cell>
          <cell r="S252" t="str">
            <v>WK Count</v>
          </cell>
          <cell r="T252" t="str">
            <v>Total Days</v>
          </cell>
          <cell r="U252">
            <v>0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O253">
            <v>0</v>
          </cell>
          <cell r="P253">
            <v>0</v>
          </cell>
          <cell r="Q253">
            <v>0</v>
          </cell>
          <cell r="R253" t="str">
            <v>TARZAN STORY STUDIO</v>
          </cell>
          <cell r="S253">
            <v>4504.91</v>
          </cell>
          <cell r="T253" t="str">
            <v>ANIMATION PRODUCTION</v>
          </cell>
          <cell r="U253" t="str">
            <v>Total Days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</row>
        <row r="254">
          <cell r="A254" t="str">
            <v>PREP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 t="str">
            <v>ANIMATION</v>
          </cell>
          <cell r="G254">
            <v>0</v>
          </cell>
          <cell r="H254">
            <v>0</v>
          </cell>
          <cell r="I254" t="str">
            <v>INK &amp; PAINT</v>
          </cell>
          <cell r="J254">
            <v>0</v>
          </cell>
          <cell r="K254">
            <v>0</v>
          </cell>
          <cell r="L254" t="str">
            <v>ALPHA</v>
          </cell>
          <cell r="M254">
            <v>0</v>
          </cell>
          <cell r="N254" t="str">
            <v>BETA</v>
          </cell>
          <cell r="O254">
            <v>0</v>
          </cell>
          <cell r="P254" t="str">
            <v>RTM</v>
          </cell>
          <cell r="Q254">
            <v>0</v>
          </cell>
          <cell r="R254" t="str">
            <v>STREET</v>
          </cell>
          <cell r="S254">
            <v>0</v>
          </cell>
          <cell r="T254" t="str">
            <v>ANIMATION PRODUCTION</v>
          </cell>
          <cell r="U254">
            <v>0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</row>
        <row r="255">
          <cell r="A255" t="str">
            <v>PREP</v>
          </cell>
          <cell r="B255" t="str">
            <v>Days</v>
          </cell>
          <cell r="C255">
            <v>0</v>
          </cell>
          <cell r="D255">
            <v>0</v>
          </cell>
          <cell r="E255">
            <v>0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K255">
            <v>0</v>
          </cell>
          <cell r="L255" t="str">
            <v>ALPHA</v>
          </cell>
          <cell r="M255">
            <v>0</v>
          </cell>
          <cell r="N255" t="str">
            <v>BETA</v>
          </cell>
          <cell r="O255">
            <v>0</v>
          </cell>
          <cell r="P255" t="str">
            <v>RTM</v>
          </cell>
          <cell r="Q255">
            <v>0</v>
          </cell>
          <cell r="R255" t="str">
            <v>STREET</v>
          </cell>
          <cell r="S255">
            <v>0</v>
          </cell>
          <cell r="T255" t="str">
            <v>Prep Projection</v>
          </cell>
          <cell r="U255">
            <v>0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</row>
        <row r="256">
          <cell r="A256" t="str">
            <v>Wks</v>
          </cell>
          <cell r="B256" t="str">
            <v>Days</v>
          </cell>
          <cell r="C256">
            <v>0</v>
          </cell>
          <cell r="D256">
            <v>0</v>
          </cell>
          <cell r="E256">
            <v>0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L256">
            <v>0</v>
          </cell>
          <cell r="M256">
            <v>29</v>
          </cell>
          <cell r="N256">
            <v>0</v>
          </cell>
          <cell r="O256">
            <v>29</v>
          </cell>
          <cell r="P256">
            <v>0</v>
          </cell>
          <cell r="Q256">
            <v>29</v>
          </cell>
          <cell r="R256">
            <v>36342</v>
          </cell>
          <cell r="S256">
            <v>0</v>
          </cell>
          <cell r="T256" t="str">
            <v>Animation Projection</v>
          </cell>
          <cell r="U256">
            <v>0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</row>
        <row r="257">
          <cell r="A257">
            <v>9.0098199999999995</v>
          </cell>
          <cell r="B257">
            <v>77.068739999999991</v>
          </cell>
          <cell r="C257">
            <v>0</v>
          </cell>
          <cell r="D257">
            <v>0</v>
          </cell>
          <cell r="E257">
            <v>0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L257">
            <v>0</v>
          </cell>
          <cell r="M257">
            <v>29</v>
          </cell>
          <cell r="N257">
            <v>0</v>
          </cell>
          <cell r="O257">
            <v>29</v>
          </cell>
          <cell r="P257">
            <v>0</v>
          </cell>
          <cell r="Q257">
            <v>29</v>
          </cell>
          <cell r="R257">
            <v>36342</v>
          </cell>
          <cell r="S257">
            <v>0</v>
          </cell>
          <cell r="T257" t="str">
            <v>Ink &amp; Paint Projection</v>
          </cell>
          <cell r="U257">
            <v>0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</row>
        <row r="258">
          <cell r="V258">
            <v>36033</v>
          </cell>
          <cell r="W258">
            <v>36110.068740000002</v>
          </cell>
          <cell r="X258">
            <v>500</v>
          </cell>
          <cell r="Y258">
            <v>11</v>
          </cell>
          <cell r="Z258">
            <v>77.068739999999991</v>
          </cell>
          <cell r="AA258" t="str">
            <v/>
          </cell>
          <cell r="AB258" t="str">
            <v/>
          </cell>
          <cell r="AC258" t="str">
            <v/>
          </cell>
          <cell r="AD258" t="str">
            <v/>
          </cell>
          <cell r="AE258" t="str">
            <v/>
          </cell>
          <cell r="AF258" t="str">
            <v/>
          </cell>
          <cell r="AG258" t="str">
            <v/>
          </cell>
          <cell r="AH258" t="str">
            <v/>
          </cell>
          <cell r="AI258" t="str">
            <v/>
          </cell>
          <cell r="AJ258" t="str">
            <v/>
          </cell>
          <cell r="AK258" t="str">
            <v/>
          </cell>
          <cell r="AL258" t="str">
            <v/>
          </cell>
          <cell r="AM258" t="str">
            <v/>
          </cell>
          <cell r="AN258" t="str">
            <v/>
          </cell>
          <cell r="AO258" t="str">
            <v/>
          </cell>
          <cell r="AP258" t="str">
            <v/>
          </cell>
          <cell r="AQ258" t="str">
            <v/>
          </cell>
          <cell r="AR258" t="str">
            <v/>
          </cell>
          <cell r="AS258" t="str">
            <v/>
          </cell>
          <cell r="AT258" t="str">
            <v/>
          </cell>
          <cell r="AU258" t="str">
            <v/>
          </cell>
          <cell r="AV258" t="str">
            <v/>
          </cell>
          <cell r="AW258" t="str">
            <v/>
          </cell>
          <cell r="AX258" t="str">
            <v/>
          </cell>
          <cell r="AY258" t="str">
            <v/>
          </cell>
          <cell r="AZ258" t="str">
            <v/>
          </cell>
          <cell r="BA258" t="str">
            <v/>
          </cell>
          <cell r="BB258" t="str">
            <v/>
          </cell>
          <cell r="BC258" t="str">
            <v/>
          </cell>
          <cell r="BD258" t="str">
            <v/>
          </cell>
          <cell r="BE258" t="str">
            <v/>
          </cell>
          <cell r="BF258" t="str">
            <v/>
          </cell>
          <cell r="BG258" t="str">
            <v/>
          </cell>
          <cell r="BH258" t="str">
            <v/>
          </cell>
          <cell r="BI258" t="str">
            <v/>
          </cell>
          <cell r="BJ258" t="str">
            <v/>
          </cell>
          <cell r="BK258" t="str">
            <v/>
          </cell>
          <cell r="BL258" t="str">
            <v/>
          </cell>
          <cell r="BM258" t="str">
            <v/>
          </cell>
          <cell r="BN258" t="str">
            <v/>
          </cell>
          <cell r="BO258" t="str">
            <v/>
          </cell>
          <cell r="BP258" t="str">
            <v/>
          </cell>
          <cell r="BQ258" t="str">
            <v/>
          </cell>
          <cell r="BR258" t="str">
            <v/>
          </cell>
          <cell r="BS258" t="str">
            <v/>
          </cell>
          <cell r="BT258" t="str">
            <v/>
          </cell>
          <cell r="BU258" t="str">
            <v/>
          </cell>
          <cell r="BV258" t="str">
            <v/>
          </cell>
          <cell r="BW258" t="str">
            <v/>
          </cell>
          <cell r="BX258" t="str">
            <v/>
          </cell>
          <cell r="BY258" t="str">
            <v/>
          </cell>
          <cell r="BZ258" t="str">
            <v/>
          </cell>
          <cell r="CA258" t="str">
            <v/>
          </cell>
          <cell r="CB258" t="str">
            <v/>
          </cell>
          <cell r="CC258" t="str">
            <v/>
          </cell>
          <cell r="CD258" t="str">
            <v/>
          </cell>
          <cell r="CE258" t="str">
            <v/>
          </cell>
          <cell r="CF258" t="str">
            <v/>
          </cell>
          <cell r="CG258" t="str">
            <v/>
          </cell>
          <cell r="CH258" t="str">
            <v/>
          </cell>
          <cell r="CI258" t="str">
            <v/>
          </cell>
          <cell r="CJ258" t="str">
            <v/>
          </cell>
          <cell r="CK258" t="str">
            <v/>
          </cell>
          <cell r="CL258" t="str">
            <v/>
          </cell>
          <cell r="CM258" t="str">
            <v/>
          </cell>
          <cell r="CN258" t="str">
            <v/>
          </cell>
          <cell r="CO258" t="str">
            <v/>
          </cell>
          <cell r="CP258" t="str">
            <v/>
          </cell>
          <cell r="CQ258" t="str">
            <v/>
          </cell>
          <cell r="CR258">
            <v>125</v>
          </cell>
          <cell r="CS258">
            <v>250</v>
          </cell>
          <cell r="CT258">
            <v>375</v>
          </cell>
          <cell r="CU258">
            <v>500</v>
          </cell>
          <cell r="CV258">
            <v>500</v>
          </cell>
          <cell r="CW258">
            <v>500</v>
          </cell>
          <cell r="CX258">
            <v>500</v>
          </cell>
          <cell r="CY258">
            <v>500</v>
          </cell>
          <cell r="CZ258">
            <v>500</v>
          </cell>
          <cell r="DA258">
            <v>500</v>
          </cell>
          <cell r="DB258">
            <v>500</v>
          </cell>
          <cell r="DC258" t="str">
            <v/>
          </cell>
          <cell r="DD258" t="str">
            <v/>
          </cell>
          <cell r="DE258" t="str">
            <v/>
          </cell>
          <cell r="DF258" t="str">
            <v/>
          </cell>
          <cell r="DG258" t="str">
            <v/>
          </cell>
          <cell r="DH258" t="str">
            <v/>
          </cell>
          <cell r="DI258" t="str">
            <v/>
          </cell>
          <cell r="DJ258" t="str">
            <v/>
          </cell>
          <cell r="DK258" t="str">
            <v/>
          </cell>
          <cell r="DL258" t="str">
            <v/>
          </cell>
          <cell r="DM258" t="str">
            <v/>
          </cell>
          <cell r="DN258" t="str">
            <v/>
          </cell>
          <cell r="DO258" t="str">
            <v/>
          </cell>
          <cell r="DP258" t="str">
            <v/>
          </cell>
          <cell r="DQ258" t="str">
            <v/>
          </cell>
          <cell r="DR258" t="str">
            <v/>
          </cell>
          <cell r="DS258" t="str">
            <v/>
          </cell>
          <cell r="DT258" t="str">
            <v/>
          </cell>
          <cell r="DU258" t="str">
            <v/>
          </cell>
          <cell r="DV258" t="str">
            <v/>
          </cell>
          <cell r="DW258" t="str">
            <v/>
          </cell>
          <cell r="DX258" t="str">
            <v/>
          </cell>
          <cell r="DY258" t="str">
            <v/>
          </cell>
          <cell r="DZ258" t="str">
            <v/>
          </cell>
          <cell r="EA258" t="str">
            <v/>
          </cell>
          <cell r="EB258" t="str">
            <v/>
          </cell>
          <cell r="EC258" t="str">
            <v/>
          </cell>
          <cell r="ED258" t="str">
            <v/>
          </cell>
          <cell r="EE258" t="str">
            <v/>
          </cell>
          <cell r="EF258" t="str">
            <v/>
          </cell>
          <cell r="EG258" t="str">
            <v/>
          </cell>
          <cell r="EH258" t="str">
            <v/>
          </cell>
          <cell r="EI258" t="str">
            <v/>
          </cell>
          <cell r="EJ258" t="str">
            <v/>
          </cell>
          <cell r="EK258" t="str">
            <v/>
          </cell>
          <cell r="EL258" t="str">
            <v/>
          </cell>
          <cell r="EM258" t="str">
            <v/>
          </cell>
          <cell r="EN258" t="str">
            <v/>
          </cell>
          <cell r="EO258" t="str">
            <v/>
          </cell>
          <cell r="EP258" t="str">
            <v/>
          </cell>
          <cell r="EQ258" t="str">
            <v/>
          </cell>
          <cell r="ER258" t="str">
            <v/>
          </cell>
          <cell r="ES258" t="str">
            <v/>
          </cell>
          <cell r="ET258" t="str">
            <v/>
          </cell>
          <cell r="EU258" t="str">
            <v/>
          </cell>
          <cell r="EV258" t="str">
            <v/>
          </cell>
        </row>
        <row r="259">
          <cell r="T259" t="str">
            <v>BUDGET FORECAST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0</v>
          </cell>
          <cell r="FP259">
            <v>0</v>
          </cell>
          <cell r="FQ259">
            <v>0</v>
          </cell>
          <cell r="FR259">
            <v>0</v>
          </cell>
          <cell r="FS259">
            <v>0</v>
          </cell>
          <cell r="FT259">
            <v>0</v>
          </cell>
          <cell r="FU259">
            <v>0</v>
          </cell>
          <cell r="FV259">
            <v>0</v>
          </cell>
          <cell r="FW259">
            <v>0</v>
          </cell>
          <cell r="FX259">
            <v>0</v>
          </cell>
        </row>
        <row r="260">
          <cell r="T260" t="str">
            <v>BUDGET FORECAST</v>
          </cell>
          <cell r="U260" t="str">
            <v>PRE PROD</v>
          </cell>
          <cell r="V260" t="str">
            <v>PRE PROD</v>
          </cell>
          <cell r="W260">
            <v>30</v>
          </cell>
          <cell r="X260">
            <v>157500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  <cell r="FJ260">
            <v>0</v>
          </cell>
          <cell r="FK260">
            <v>0</v>
          </cell>
          <cell r="FL260">
            <v>0</v>
          </cell>
          <cell r="FM260">
            <v>0</v>
          </cell>
          <cell r="FN260">
            <v>0</v>
          </cell>
          <cell r="FO260">
            <v>0</v>
          </cell>
          <cell r="FP260">
            <v>0</v>
          </cell>
          <cell r="FQ260">
            <v>0</v>
          </cell>
          <cell r="FR260">
            <v>0</v>
          </cell>
          <cell r="FS260">
            <v>0</v>
          </cell>
          <cell r="FT260">
            <v>0</v>
          </cell>
          <cell r="FU260">
            <v>0</v>
          </cell>
          <cell r="FV260">
            <v>0</v>
          </cell>
          <cell r="FW260">
            <v>0</v>
          </cell>
          <cell r="FX260">
            <v>0</v>
          </cell>
          <cell r="FY260">
            <v>0</v>
          </cell>
          <cell r="FZ260">
            <v>0</v>
          </cell>
          <cell r="GA260">
            <v>0</v>
          </cell>
          <cell r="GB260">
            <v>0</v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0</v>
          </cell>
          <cell r="E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  <cell r="FD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  <cell r="FJ261">
            <v>0</v>
          </cell>
          <cell r="FK261">
            <v>0</v>
          </cell>
          <cell r="FL261">
            <v>0</v>
          </cell>
          <cell r="FM261">
            <v>0</v>
          </cell>
          <cell r="FN261">
            <v>0</v>
          </cell>
          <cell r="FO261">
            <v>0</v>
          </cell>
          <cell r="FP261">
            <v>0</v>
          </cell>
          <cell r="FQ261">
            <v>0</v>
          </cell>
          <cell r="FR261">
            <v>0</v>
          </cell>
          <cell r="FS261">
            <v>0</v>
          </cell>
          <cell r="FT261">
            <v>0</v>
          </cell>
          <cell r="FU261">
            <v>0</v>
          </cell>
          <cell r="FV261">
            <v>0</v>
          </cell>
          <cell r="FW261">
            <v>0</v>
          </cell>
          <cell r="FX261">
            <v>0</v>
          </cell>
          <cell r="FY261">
            <v>0</v>
          </cell>
          <cell r="FZ261">
            <v>0</v>
          </cell>
          <cell r="GA261">
            <v>0</v>
          </cell>
          <cell r="GB261">
            <v>0</v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  <cell r="FR262">
            <v>0</v>
          </cell>
          <cell r="FS262">
            <v>0</v>
          </cell>
          <cell r="FT262">
            <v>0</v>
          </cell>
          <cell r="FU262">
            <v>0</v>
          </cell>
          <cell r="FV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</row>
        <row r="266">
          <cell r="X266" t="str">
            <v>DIRECT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</row>
        <row r="267">
          <cell r="X267" t="str">
            <v>DIRECT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0</v>
          </cell>
          <cell r="FP267">
            <v>0</v>
          </cell>
          <cell r="FQ267">
            <v>0</v>
          </cell>
          <cell r="FR267">
            <v>0</v>
          </cell>
          <cell r="FS267">
            <v>0</v>
          </cell>
          <cell r="FT267">
            <v>0</v>
          </cell>
          <cell r="FU267">
            <v>0</v>
          </cell>
          <cell r="FV267">
            <v>0</v>
          </cell>
          <cell r="FW267">
            <v>0</v>
          </cell>
          <cell r="FX267">
            <v>0</v>
          </cell>
          <cell r="FY267">
            <v>0</v>
          </cell>
          <cell r="FZ267">
            <v>0</v>
          </cell>
          <cell r="GA267">
            <v>0</v>
          </cell>
          <cell r="GB267">
            <v>0</v>
          </cell>
        </row>
        <row r="268">
          <cell r="X268" t="str">
            <v>LOADED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</row>
        <row r="269">
          <cell r="V269" t="str">
            <v>PROJECTED RTM</v>
          </cell>
          <cell r="W269" t="str">
            <v>CUMULATIVE TO DATE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0</v>
          </cell>
          <cell r="FP269">
            <v>0</v>
          </cell>
          <cell r="FQ269">
            <v>0</v>
          </cell>
          <cell r="FR269">
            <v>0</v>
          </cell>
          <cell r="FS269">
            <v>0</v>
          </cell>
          <cell r="FT269">
            <v>0</v>
          </cell>
          <cell r="FU269">
            <v>0</v>
          </cell>
          <cell r="FV269">
            <v>0</v>
          </cell>
          <cell r="FW269">
            <v>0</v>
          </cell>
          <cell r="FX269">
            <v>0</v>
          </cell>
          <cell r="FY269">
            <v>0</v>
          </cell>
          <cell r="FZ269">
            <v>0</v>
          </cell>
        </row>
        <row r="270">
          <cell r="V270" t="str">
            <v>PROJECTED RTM</v>
          </cell>
          <cell r="W270">
            <v>36189.068740000002</v>
          </cell>
          <cell r="X270">
            <v>36189.068740000002</v>
          </cell>
          <cell r="Y270">
            <v>140</v>
          </cell>
          <cell r="Z270">
            <v>63.068739999999991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</row>
        <row r="271">
          <cell r="V271" t="str">
            <v>PROJECTED STREET</v>
          </cell>
          <cell r="W271">
            <v>36219.068740000002</v>
          </cell>
          <cell r="X271">
            <v>36219.068740000002</v>
          </cell>
        </row>
        <row r="272">
          <cell r="V272" t="str">
            <v>+ or - Scheduled Date</v>
          </cell>
          <cell r="W272">
            <v>122.93125999999756</v>
          </cell>
          <cell r="X272">
            <v>122.93125999999756</v>
          </cell>
        </row>
        <row r="273">
          <cell r="N273" t="str">
            <v>ENGINEERING</v>
          </cell>
          <cell r="O273" t="str">
            <v>WK Count</v>
          </cell>
          <cell r="P273" t="str">
            <v>Total Days</v>
          </cell>
          <cell r="Q273">
            <v>0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O274" t="str">
            <v>WK Count</v>
          </cell>
          <cell r="P274" t="str">
            <v>Total Days</v>
          </cell>
          <cell r="Q274">
            <v>0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B275" t="str">
            <v>ANIMATION</v>
          </cell>
          <cell r="C275" t="str">
            <v>INK &amp; PAINT</v>
          </cell>
          <cell r="D275" t="str">
            <v>ALPHA</v>
          </cell>
          <cell r="E275" t="str">
            <v>BETA</v>
          </cell>
          <cell r="F275" t="str">
            <v>ANIMATION</v>
          </cell>
          <cell r="G275">
            <v>7</v>
          </cell>
          <cell r="H275">
            <v>52.351039999999998</v>
          </cell>
          <cell r="I275" t="str">
            <v>INK &amp; PAINT</v>
          </cell>
          <cell r="J275">
            <v>0</v>
          </cell>
          <cell r="K275">
            <v>0</v>
          </cell>
          <cell r="L275" t="str">
            <v>ALPHA</v>
          </cell>
          <cell r="M275">
            <v>0</v>
          </cell>
          <cell r="N275" t="str">
            <v>BETA</v>
          </cell>
          <cell r="O275">
            <v>0</v>
          </cell>
          <cell r="P275" t="str">
            <v>RTM</v>
          </cell>
          <cell r="Q275">
            <v>0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C276" t="str">
            <v>ANIMATION</v>
          </cell>
          <cell r="D276" t="str">
            <v>Days</v>
          </cell>
          <cell r="E276" t="str">
            <v>Frames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K276">
            <v>7</v>
          </cell>
          <cell r="L276" t="str">
            <v>ALPHA</v>
          </cell>
          <cell r="M276">
            <v>0</v>
          </cell>
          <cell r="N276" t="str">
            <v>BETA</v>
          </cell>
          <cell r="O276">
            <v>0</v>
          </cell>
          <cell r="P276" t="str">
            <v>RTM</v>
          </cell>
          <cell r="Q276">
            <v>0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C277" t="str">
            <v>Wks</v>
          </cell>
          <cell r="D277" t="str">
            <v>Days</v>
          </cell>
          <cell r="E277" t="str">
            <v>Frames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L277">
            <v>11</v>
          </cell>
          <cell r="M277">
            <v>29</v>
          </cell>
          <cell r="N277">
            <v>0</v>
          </cell>
          <cell r="O277">
            <v>29</v>
          </cell>
          <cell r="P277">
            <v>0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C278">
            <v>6.8484000000000007</v>
          </cell>
          <cell r="D278">
            <v>77.938800000000015</v>
          </cell>
          <cell r="E278">
            <v>2739.36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L278">
            <v>9</v>
          </cell>
          <cell r="M278">
            <v>29</v>
          </cell>
          <cell r="N278">
            <v>0</v>
          </cell>
          <cell r="O278">
            <v>29</v>
          </cell>
          <cell r="P278">
            <v>0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O294" t="str">
            <v>WK Count</v>
          </cell>
          <cell r="P294" t="str">
            <v>Total Days</v>
          </cell>
          <cell r="Q294">
            <v>0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O295" t="str">
            <v>WK Count</v>
          </cell>
          <cell r="P295" t="str">
            <v>Total Days</v>
          </cell>
          <cell r="Q295">
            <v>0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B296" t="str">
            <v>ANIMATION</v>
          </cell>
          <cell r="C296" t="str">
            <v>INK &amp; PAINT</v>
          </cell>
          <cell r="D296" t="str">
            <v>ALPHA</v>
          </cell>
          <cell r="E296" t="str">
            <v>BETA</v>
          </cell>
          <cell r="F296" t="str">
            <v>ANIMATION</v>
          </cell>
          <cell r="G296">
            <v>6</v>
          </cell>
          <cell r="H296">
            <v>42.297850000000004</v>
          </cell>
          <cell r="I296" t="str">
            <v>INK &amp; PAINT</v>
          </cell>
          <cell r="J296">
            <v>0</v>
          </cell>
          <cell r="K296">
            <v>0</v>
          </cell>
          <cell r="L296" t="str">
            <v>ALPHA</v>
          </cell>
          <cell r="M296">
            <v>0</v>
          </cell>
          <cell r="N296" t="str">
            <v>BETA</v>
          </cell>
          <cell r="O296">
            <v>0</v>
          </cell>
          <cell r="P296" t="str">
            <v>RTM</v>
          </cell>
          <cell r="Q296">
            <v>0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C297" t="str">
            <v>ANIMATION</v>
          </cell>
          <cell r="D297" t="str">
            <v>Days</v>
          </cell>
          <cell r="E297" t="str">
            <v>Frames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K297">
            <v>6</v>
          </cell>
          <cell r="L297" t="str">
            <v>ALPHA</v>
          </cell>
          <cell r="M297">
            <v>0</v>
          </cell>
          <cell r="N297" t="str">
            <v>BETA</v>
          </cell>
          <cell r="O297">
            <v>0</v>
          </cell>
          <cell r="P297" t="str">
            <v>RTM</v>
          </cell>
          <cell r="Q297">
            <v>0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C298" t="str">
            <v>Wks</v>
          </cell>
          <cell r="D298" t="str">
            <v>Days</v>
          </cell>
          <cell r="E298" t="str">
            <v>Frames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L298">
            <v>11</v>
          </cell>
          <cell r="M298">
            <v>29</v>
          </cell>
          <cell r="N298">
            <v>0</v>
          </cell>
          <cell r="O298">
            <v>29</v>
          </cell>
          <cell r="P298">
            <v>0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C299">
            <v>6.7375833333333333</v>
          </cell>
          <cell r="D299">
            <v>77.163083333333333</v>
          </cell>
          <cell r="E299">
            <v>2021.2750000000001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L299">
            <v>6</v>
          </cell>
          <cell r="M299">
            <v>29</v>
          </cell>
          <cell r="N299">
            <v>0</v>
          </cell>
          <cell r="O299">
            <v>29</v>
          </cell>
          <cell r="P299">
            <v>0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O322" t="str">
            <v>WK Count</v>
          </cell>
          <cell r="P322" t="str">
            <v>Total Days</v>
          </cell>
          <cell r="Q322">
            <v>0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O323" t="str">
            <v>WK Count</v>
          </cell>
          <cell r="P323" t="str">
            <v>Total Days</v>
          </cell>
          <cell r="Q323">
            <v>0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B324" t="str">
            <v>ANIMATION</v>
          </cell>
          <cell r="C324" t="str">
            <v>INK &amp; PAINT</v>
          </cell>
          <cell r="D324" t="str">
            <v>ALPHA</v>
          </cell>
          <cell r="E324" t="str">
            <v>BETA</v>
          </cell>
          <cell r="F324" t="str">
            <v>ANIMATION</v>
          </cell>
          <cell r="G324">
            <v>3</v>
          </cell>
          <cell r="H324">
            <v>21</v>
          </cell>
          <cell r="I324" t="str">
            <v>INK &amp; PAINT</v>
          </cell>
          <cell r="J324">
            <v>0</v>
          </cell>
          <cell r="K324">
            <v>0</v>
          </cell>
          <cell r="L324" t="str">
            <v>ALPHA</v>
          </cell>
          <cell r="M324">
            <v>0</v>
          </cell>
          <cell r="N324" t="str">
            <v>BETA</v>
          </cell>
          <cell r="O324">
            <v>0</v>
          </cell>
          <cell r="P324" t="str">
            <v>RTM</v>
          </cell>
          <cell r="Q324">
            <v>0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C325" t="str">
            <v>ANIMATION</v>
          </cell>
          <cell r="D325" t="str">
            <v>Days</v>
          </cell>
          <cell r="E325" t="str">
            <v>Frames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K325">
            <v>3</v>
          </cell>
          <cell r="L325" t="str">
            <v>ALPHA</v>
          </cell>
          <cell r="M325">
            <v>0</v>
          </cell>
          <cell r="N325" t="str">
            <v>BETA</v>
          </cell>
          <cell r="O325">
            <v>0</v>
          </cell>
          <cell r="P325" t="str">
            <v>RTM</v>
          </cell>
          <cell r="Q325">
            <v>0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C326" t="str">
            <v>Wks</v>
          </cell>
          <cell r="D326" t="str">
            <v>Days</v>
          </cell>
          <cell r="E326" t="str">
            <v>Frames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L326">
            <v>3</v>
          </cell>
          <cell r="M326">
            <v>29</v>
          </cell>
          <cell r="N326">
            <v>0</v>
          </cell>
          <cell r="O326">
            <v>29</v>
          </cell>
          <cell r="P326">
            <v>0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C327">
            <v>1</v>
          </cell>
          <cell r="D327">
            <v>21</v>
          </cell>
          <cell r="E327">
            <v>131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L327">
            <v>3</v>
          </cell>
          <cell r="M327">
            <v>29</v>
          </cell>
          <cell r="N327">
            <v>0</v>
          </cell>
          <cell r="O327">
            <v>29</v>
          </cell>
          <cell r="P327">
            <v>0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O343" t="str">
            <v>WK Count</v>
          </cell>
          <cell r="P343" t="str">
            <v>Total Days</v>
          </cell>
          <cell r="Q343">
            <v>0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O344" t="str">
            <v>WK Count</v>
          </cell>
          <cell r="P344" t="str">
            <v>Total Days</v>
          </cell>
          <cell r="Q344">
            <v>0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B345" t="str">
            <v>ANIMATION</v>
          </cell>
          <cell r="C345" t="str">
            <v>INK &amp; PAINT</v>
          </cell>
          <cell r="D345" t="str">
            <v>ALPHA</v>
          </cell>
          <cell r="E345" t="str">
            <v>BETA</v>
          </cell>
          <cell r="F345" t="str">
            <v>ANIMATION</v>
          </cell>
          <cell r="G345">
            <v>7</v>
          </cell>
          <cell r="H345">
            <v>49</v>
          </cell>
          <cell r="I345" t="str">
            <v>INK &amp; PAINT</v>
          </cell>
          <cell r="J345">
            <v>0</v>
          </cell>
          <cell r="K345">
            <v>0</v>
          </cell>
          <cell r="L345" t="str">
            <v>ALPHA</v>
          </cell>
          <cell r="M345">
            <v>0</v>
          </cell>
          <cell r="N345" t="str">
            <v>BETA</v>
          </cell>
          <cell r="O345">
            <v>0</v>
          </cell>
          <cell r="P345" t="str">
            <v>RTM</v>
          </cell>
          <cell r="Q345">
            <v>0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C346" t="str">
            <v>ANIMATION</v>
          </cell>
          <cell r="D346" t="str">
            <v>Days</v>
          </cell>
          <cell r="E346" t="str">
            <v>Frames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K346">
            <v>7</v>
          </cell>
          <cell r="L346" t="str">
            <v>ALPHA</v>
          </cell>
          <cell r="M346">
            <v>0</v>
          </cell>
          <cell r="N346" t="str">
            <v>BETA</v>
          </cell>
          <cell r="O346">
            <v>0</v>
          </cell>
          <cell r="P346" t="str">
            <v>RTM</v>
          </cell>
          <cell r="Q346">
            <v>0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C347" t="str">
            <v>Wks</v>
          </cell>
          <cell r="D347" t="str">
            <v>Days</v>
          </cell>
          <cell r="E347" t="str">
            <v>Frames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L347">
            <v>7</v>
          </cell>
          <cell r="M347">
            <v>29</v>
          </cell>
          <cell r="N347">
            <v>0</v>
          </cell>
          <cell r="O347">
            <v>29</v>
          </cell>
          <cell r="P347">
            <v>0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C348">
            <v>5</v>
          </cell>
          <cell r="D348">
            <v>49</v>
          </cell>
          <cell r="E348">
            <v>500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L348">
            <v>7</v>
          </cell>
          <cell r="M348">
            <v>29</v>
          </cell>
          <cell r="N348">
            <v>0</v>
          </cell>
          <cell r="O348">
            <v>29</v>
          </cell>
          <cell r="P348">
            <v>0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O363" t="str">
            <v>WK Count</v>
          </cell>
          <cell r="P363" t="str">
            <v>Total Days</v>
          </cell>
          <cell r="Q363">
            <v>0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O364" t="str">
            <v>WK Count</v>
          </cell>
          <cell r="P364" t="str">
            <v>Total Days</v>
          </cell>
          <cell r="Q364">
            <v>0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B365" t="str">
            <v>ANIMATION</v>
          </cell>
          <cell r="C365" t="str">
            <v>INK &amp; PAINT</v>
          </cell>
          <cell r="D365" t="str">
            <v>ALPHA</v>
          </cell>
          <cell r="E365" t="str">
            <v>BETA</v>
          </cell>
          <cell r="F365" t="str">
            <v>ANIMATION</v>
          </cell>
          <cell r="G365">
            <v>7</v>
          </cell>
          <cell r="H365">
            <v>49</v>
          </cell>
          <cell r="I365" t="str">
            <v>INK &amp; PAINT</v>
          </cell>
          <cell r="J365">
            <v>0</v>
          </cell>
          <cell r="K365">
            <v>0</v>
          </cell>
          <cell r="L365" t="str">
            <v>ALPHA</v>
          </cell>
          <cell r="M365">
            <v>0</v>
          </cell>
          <cell r="N365" t="str">
            <v>BETA</v>
          </cell>
          <cell r="O365">
            <v>0</v>
          </cell>
          <cell r="P365" t="str">
            <v>RTM</v>
          </cell>
          <cell r="Q365">
            <v>0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C366" t="str">
            <v>ANIMATION</v>
          </cell>
          <cell r="D366" t="str">
            <v>Days</v>
          </cell>
          <cell r="E366" t="str">
            <v>Frames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K366">
            <v>7</v>
          </cell>
          <cell r="L366" t="str">
            <v>ALPHA</v>
          </cell>
          <cell r="M366">
            <v>0</v>
          </cell>
          <cell r="N366" t="str">
            <v>BETA</v>
          </cell>
          <cell r="O366">
            <v>0</v>
          </cell>
          <cell r="P366" t="str">
            <v>RTM</v>
          </cell>
          <cell r="Q366">
            <v>0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C367" t="str">
            <v>Wks</v>
          </cell>
          <cell r="D367" t="str">
            <v>Days</v>
          </cell>
          <cell r="E367" t="str">
            <v>Frames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L367">
            <v>7</v>
          </cell>
          <cell r="M367">
            <v>29</v>
          </cell>
          <cell r="N367">
            <v>0</v>
          </cell>
          <cell r="O367">
            <v>29</v>
          </cell>
          <cell r="P367">
            <v>0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C368">
            <v>5</v>
          </cell>
          <cell r="D368">
            <v>49</v>
          </cell>
          <cell r="E368">
            <v>500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L368">
            <v>7</v>
          </cell>
          <cell r="M368">
            <v>29</v>
          </cell>
          <cell r="N368">
            <v>0</v>
          </cell>
          <cell r="O368">
            <v>29</v>
          </cell>
          <cell r="P368">
            <v>0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O383" t="str">
            <v>WK Count</v>
          </cell>
          <cell r="P383" t="str">
            <v>Total Days</v>
          </cell>
          <cell r="Q383">
            <v>0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O384" t="str">
            <v>WK Count</v>
          </cell>
          <cell r="P384" t="str">
            <v>Total Days</v>
          </cell>
          <cell r="Q384">
            <v>0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B385" t="str">
            <v>ANIMATION</v>
          </cell>
          <cell r="C385" t="str">
            <v>INK &amp; PAINT</v>
          </cell>
          <cell r="D385" t="str">
            <v>ALPHA</v>
          </cell>
          <cell r="E385" t="str">
            <v>BETA</v>
          </cell>
          <cell r="F385" t="str">
            <v>ANIMATION</v>
          </cell>
          <cell r="G385">
            <v>4</v>
          </cell>
          <cell r="H385">
            <v>25.0642</v>
          </cell>
          <cell r="I385" t="str">
            <v>INK &amp; PAINT</v>
          </cell>
          <cell r="J385">
            <v>0</v>
          </cell>
          <cell r="K385">
            <v>0</v>
          </cell>
          <cell r="L385" t="str">
            <v>ALPHA</v>
          </cell>
          <cell r="M385">
            <v>0</v>
          </cell>
          <cell r="N385" t="str">
            <v>BETA</v>
          </cell>
          <cell r="O385">
            <v>0</v>
          </cell>
          <cell r="P385" t="str">
            <v>RTM</v>
          </cell>
          <cell r="Q385">
            <v>0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C386" t="str">
            <v>ANIMATION</v>
          </cell>
          <cell r="D386" t="str">
            <v>Days</v>
          </cell>
          <cell r="E386" t="str">
            <v>Frames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K386">
            <v>4</v>
          </cell>
          <cell r="L386" t="str">
            <v>ALPHA</v>
          </cell>
          <cell r="M386">
            <v>0</v>
          </cell>
          <cell r="N386" t="str">
            <v>BETA</v>
          </cell>
          <cell r="O386">
            <v>0</v>
          </cell>
          <cell r="P386" t="str">
            <v>RTM</v>
          </cell>
          <cell r="Q386">
            <v>0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C387" t="str">
            <v>Wks</v>
          </cell>
          <cell r="D387" t="str">
            <v>Days</v>
          </cell>
          <cell r="E387" t="str">
            <v>Frames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L387">
            <v>4</v>
          </cell>
          <cell r="M387">
            <v>29</v>
          </cell>
          <cell r="N387">
            <v>0</v>
          </cell>
          <cell r="O387">
            <v>29</v>
          </cell>
          <cell r="P387">
            <v>0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C388">
            <v>1.5806</v>
          </cell>
          <cell r="D388">
            <v>25.0642</v>
          </cell>
          <cell r="E388">
            <v>158.06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L388">
            <v>4</v>
          </cell>
          <cell r="M388">
            <v>29</v>
          </cell>
          <cell r="N388">
            <v>0</v>
          </cell>
          <cell r="O388">
            <v>29</v>
          </cell>
          <cell r="P388">
            <v>0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O403" t="str">
            <v>WK Count</v>
          </cell>
          <cell r="P403" t="str">
            <v>Total Days</v>
          </cell>
          <cell r="Q403">
            <v>0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O404" t="str">
            <v>WK Count</v>
          </cell>
          <cell r="P404" t="str">
            <v>Total Days</v>
          </cell>
          <cell r="Q404">
            <v>0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B405" t="str">
            <v>ANIMATION</v>
          </cell>
          <cell r="C405" t="str">
            <v>INK &amp; PAINT</v>
          </cell>
          <cell r="D405" t="str">
            <v>ALPHA</v>
          </cell>
          <cell r="E405" t="str">
            <v>BETA</v>
          </cell>
          <cell r="F405" t="str">
            <v>ANIMATION</v>
          </cell>
          <cell r="G405">
            <v>7</v>
          </cell>
          <cell r="H405">
            <v>49</v>
          </cell>
          <cell r="I405" t="str">
            <v>INK &amp; PAINT</v>
          </cell>
          <cell r="J405">
            <v>0</v>
          </cell>
          <cell r="K405">
            <v>0</v>
          </cell>
          <cell r="L405" t="str">
            <v>ALPHA</v>
          </cell>
          <cell r="M405">
            <v>0</v>
          </cell>
          <cell r="N405" t="str">
            <v>BETA</v>
          </cell>
          <cell r="O405">
            <v>0</v>
          </cell>
          <cell r="P405" t="str">
            <v>RTM</v>
          </cell>
          <cell r="Q405">
            <v>0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C406" t="str">
            <v>ANIMATION</v>
          </cell>
          <cell r="D406" t="str">
            <v>Days</v>
          </cell>
          <cell r="E406" t="str">
            <v>Frames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K406">
            <v>7</v>
          </cell>
          <cell r="L406" t="str">
            <v>ALPHA</v>
          </cell>
          <cell r="M406">
            <v>0</v>
          </cell>
          <cell r="N406" t="str">
            <v>BETA</v>
          </cell>
          <cell r="O406">
            <v>0</v>
          </cell>
          <cell r="P406" t="str">
            <v>RTM</v>
          </cell>
          <cell r="Q406">
            <v>0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C407" t="str">
            <v>Wks</v>
          </cell>
          <cell r="D407" t="str">
            <v>Days</v>
          </cell>
          <cell r="E407" t="str">
            <v>Frames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L407">
            <v>7</v>
          </cell>
          <cell r="M407">
            <v>29</v>
          </cell>
          <cell r="N407">
            <v>0</v>
          </cell>
          <cell r="O407">
            <v>29</v>
          </cell>
          <cell r="P407">
            <v>0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C408">
            <v>5</v>
          </cell>
          <cell r="D408">
            <v>49</v>
          </cell>
          <cell r="E408">
            <v>500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L408">
            <v>7</v>
          </cell>
          <cell r="M408">
            <v>29</v>
          </cell>
          <cell r="N408">
            <v>0</v>
          </cell>
          <cell r="O408">
            <v>29</v>
          </cell>
          <cell r="P408">
            <v>0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O423" t="str">
            <v>WK Count</v>
          </cell>
          <cell r="P423" t="str">
            <v>Total Days</v>
          </cell>
          <cell r="Q423">
            <v>0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O424" t="str">
            <v>WK Count</v>
          </cell>
          <cell r="P424" t="str">
            <v>Total Days</v>
          </cell>
          <cell r="Q424">
            <v>0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B425" t="str">
            <v>ANIMATION</v>
          </cell>
          <cell r="C425" t="str">
            <v>INK &amp; PAINT</v>
          </cell>
          <cell r="D425" t="str">
            <v>ALPHA</v>
          </cell>
          <cell r="E425" t="str">
            <v>BETA</v>
          </cell>
          <cell r="F425" t="str">
            <v>ANIMATION</v>
          </cell>
          <cell r="G425">
            <v>4</v>
          </cell>
          <cell r="H425">
            <v>25.0642</v>
          </cell>
          <cell r="I425" t="str">
            <v>INK &amp; PAINT</v>
          </cell>
          <cell r="J425">
            <v>0</v>
          </cell>
          <cell r="K425">
            <v>0</v>
          </cell>
          <cell r="L425" t="str">
            <v>ALPHA</v>
          </cell>
          <cell r="M425">
            <v>0</v>
          </cell>
          <cell r="N425" t="str">
            <v>BETA</v>
          </cell>
          <cell r="O425">
            <v>0</v>
          </cell>
          <cell r="P425" t="str">
            <v>RTM</v>
          </cell>
          <cell r="Q425">
            <v>0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C426" t="str">
            <v>ANIMATION</v>
          </cell>
          <cell r="D426" t="str">
            <v>Days</v>
          </cell>
          <cell r="E426" t="str">
            <v>Frames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K426">
            <v>4</v>
          </cell>
          <cell r="L426" t="str">
            <v>ALPHA</v>
          </cell>
          <cell r="M426">
            <v>0</v>
          </cell>
          <cell r="N426" t="str">
            <v>BETA</v>
          </cell>
          <cell r="O426">
            <v>0</v>
          </cell>
          <cell r="P426" t="str">
            <v>RTM</v>
          </cell>
          <cell r="Q426">
            <v>0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C427" t="str">
            <v>Wks</v>
          </cell>
          <cell r="D427" t="str">
            <v>Days</v>
          </cell>
          <cell r="E427" t="str">
            <v>Frames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L427">
            <v>4</v>
          </cell>
          <cell r="M427">
            <v>29</v>
          </cell>
          <cell r="N427">
            <v>0</v>
          </cell>
          <cell r="O427">
            <v>29</v>
          </cell>
          <cell r="P427">
            <v>0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C428">
            <v>1.5806</v>
          </cell>
          <cell r="D428">
            <v>25.0642</v>
          </cell>
          <cell r="E428">
            <v>158.06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L428">
            <v>4</v>
          </cell>
          <cell r="M428">
            <v>29</v>
          </cell>
          <cell r="N428">
            <v>0</v>
          </cell>
          <cell r="O428">
            <v>29</v>
          </cell>
          <cell r="P428">
            <v>0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O443" t="str">
            <v>WK Count</v>
          </cell>
          <cell r="P443" t="str">
            <v>Total Days</v>
          </cell>
          <cell r="Q443">
            <v>0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O444" t="str">
            <v>WK Count</v>
          </cell>
          <cell r="P444" t="str">
            <v>Total Days</v>
          </cell>
          <cell r="Q444">
            <v>0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B445" t="str">
            <v>ANIMATION</v>
          </cell>
          <cell r="C445" t="str">
            <v>INK &amp; PAINT</v>
          </cell>
          <cell r="D445" t="str">
            <v>ALPHA</v>
          </cell>
          <cell r="E445" t="str">
            <v>BETA</v>
          </cell>
          <cell r="F445" t="str">
            <v>ANIMATION</v>
          </cell>
          <cell r="G445">
            <v>4</v>
          </cell>
          <cell r="H445">
            <v>32.440100000000001</v>
          </cell>
          <cell r="I445" t="str">
            <v>INK &amp; PAINT</v>
          </cell>
          <cell r="J445">
            <v>0</v>
          </cell>
          <cell r="K445">
            <v>0</v>
          </cell>
          <cell r="L445" t="str">
            <v>ALPHA</v>
          </cell>
          <cell r="M445">
            <v>0</v>
          </cell>
          <cell r="N445" t="str">
            <v>BETA</v>
          </cell>
          <cell r="O445">
            <v>0</v>
          </cell>
          <cell r="P445" t="str">
            <v>RTM</v>
          </cell>
          <cell r="Q445">
            <v>0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C446" t="str">
            <v>ANIMATION</v>
          </cell>
          <cell r="D446" t="str">
            <v>Days</v>
          </cell>
          <cell r="E446" t="str">
            <v>Frames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K446">
            <v>4</v>
          </cell>
          <cell r="L446" t="str">
            <v>ALPHA</v>
          </cell>
          <cell r="M446">
            <v>0</v>
          </cell>
          <cell r="N446" t="str">
            <v>BETA</v>
          </cell>
          <cell r="O446">
            <v>0</v>
          </cell>
          <cell r="P446" t="str">
            <v>RTM</v>
          </cell>
          <cell r="Q446">
            <v>0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C447" t="str">
            <v>Wks</v>
          </cell>
          <cell r="D447" t="str">
            <v>Days</v>
          </cell>
          <cell r="E447" t="str">
            <v>Frames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L447">
            <v>4</v>
          </cell>
          <cell r="M447">
            <v>29</v>
          </cell>
          <cell r="N447">
            <v>0</v>
          </cell>
          <cell r="O447">
            <v>29</v>
          </cell>
          <cell r="P447">
            <v>0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C448">
            <v>2.6343000000000001</v>
          </cell>
          <cell r="D448">
            <v>32.440100000000001</v>
          </cell>
          <cell r="E448">
            <v>263.43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L448">
            <v>4</v>
          </cell>
          <cell r="M448">
            <v>29</v>
          </cell>
          <cell r="N448">
            <v>0</v>
          </cell>
          <cell r="O448">
            <v>29</v>
          </cell>
          <cell r="P448">
            <v>0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O463" t="str">
            <v>WK Count</v>
          </cell>
          <cell r="P463" t="str">
            <v>Total Days</v>
          </cell>
          <cell r="Q463">
            <v>0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O464" t="str">
            <v>WK Count</v>
          </cell>
          <cell r="P464" t="str">
            <v>Total Days</v>
          </cell>
          <cell r="Q464">
            <v>0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B465" t="str">
            <v>ANIMATION</v>
          </cell>
          <cell r="C465" t="str">
            <v>INK &amp; PAINT</v>
          </cell>
          <cell r="D465" t="str">
            <v>ALPHA</v>
          </cell>
          <cell r="E465" t="str">
            <v>BETA</v>
          </cell>
          <cell r="F465" t="str">
            <v>ANIMATION</v>
          </cell>
          <cell r="G465">
            <v>3</v>
          </cell>
          <cell r="H465">
            <v>25.0642</v>
          </cell>
          <cell r="I465" t="str">
            <v>INK &amp; PAINT</v>
          </cell>
          <cell r="J465">
            <v>0</v>
          </cell>
          <cell r="K465">
            <v>0</v>
          </cell>
          <cell r="L465" t="str">
            <v>ALPHA</v>
          </cell>
          <cell r="M465">
            <v>0</v>
          </cell>
          <cell r="N465" t="str">
            <v>BETA</v>
          </cell>
          <cell r="O465">
            <v>0</v>
          </cell>
          <cell r="P465" t="str">
            <v>RTM</v>
          </cell>
          <cell r="Q465">
            <v>0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C466" t="str">
            <v>ANIMATION</v>
          </cell>
          <cell r="D466" t="str">
            <v>Days</v>
          </cell>
          <cell r="E466" t="str">
            <v>Frames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K466">
            <v>3</v>
          </cell>
          <cell r="L466" t="str">
            <v>ALPHA</v>
          </cell>
          <cell r="M466">
            <v>0</v>
          </cell>
          <cell r="N466" t="str">
            <v>BETA</v>
          </cell>
          <cell r="O466">
            <v>0</v>
          </cell>
          <cell r="P466" t="str">
            <v>RTM</v>
          </cell>
          <cell r="Q466">
            <v>0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C467" t="str">
            <v>Wks</v>
          </cell>
          <cell r="D467" t="str">
            <v>Days</v>
          </cell>
          <cell r="E467" t="str">
            <v>Frames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L467">
            <v>3</v>
          </cell>
          <cell r="M467">
            <v>29</v>
          </cell>
          <cell r="N467">
            <v>0</v>
          </cell>
          <cell r="O467">
            <v>29</v>
          </cell>
          <cell r="P467">
            <v>0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C468">
            <v>1.5806</v>
          </cell>
          <cell r="D468">
            <v>25.0642</v>
          </cell>
          <cell r="E468">
            <v>158.06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L468">
            <v>3</v>
          </cell>
          <cell r="M468">
            <v>29</v>
          </cell>
          <cell r="N468">
            <v>0</v>
          </cell>
          <cell r="O468">
            <v>29</v>
          </cell>
          <cell r="P468">
            <v>0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O483" t="str">
            <v>WK Count</v>
          </cell>
          <cell r="P483" t="str">
            <v>Total Days</v>
          </cell>
          <cell r="Q483">
            <v>0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O484" t="str">
            <v>WK Count</v>
          </cell>
          <cell r="P484" t="str">
            <v>Total Days</v>
          </cell>
          <cell r="Q484">
            <v>0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B485" t="str">
            <v>ANIMATION</v>
          </cell>
          <cell r="C485" t="str">
            <v>INK &amp; PAINT</v>
          </cell>
          <cell r="D485" t="str">
            <v>ALPHA</v>
          </cell>
          <cell r="E485" t="str">
            <v>BETA</v>
          </cell>
          <cell r="F485" t="str">
            <v>ANIMATION</v>
          </cell>
          <cell r="G485">
            <v>7</v>
          </cell>
          <cell r="H485">
            <v>46.393619999999999</v>
          </cell>
          <cell r="I485" t="str">
            <v>INK &amp; PAINT</v>
          </cell>
          <cell r="J485">
            <v>0</v>
          </cell>
          <cell r="K485">
            <v>0</v>
          </cell>
          <cell r="L485" t="str">
            <v>ALPHA</v>
          </cell>
          <cell r="M485">
            <v>0</v>
          </cell>
          <cell r="N485" t="str">
            <v>BETA</v>
          </cell>
          <cell r="O485">
            <v>0</v>
          </cell>
          <cell r="P485" t="str">
            <v>RTM</v>
          </cell>
          <cell r="Q485">
            <v>0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C486" t="str">
            <v>ANIMATION</v>
          </cell>
          <cell r="D486" t="str">
            <v>Days</v>
          </cell>
          <cell r="E486" t="str">
            <v>Frames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K486">
            <v>7</v>
          </cell>
          <cell r="L486" t="str">
            <v>ALPHA</v>
          </cell>
          <cell r="M486">
            <v>0</v>
          </cell>
          <cell r="N486" t="str">
            <v>BETA</v>
          </cell>
          <cell r="O486">
            <v>0</v>
          </cell>
          <cell r="P486" t="str">
            <v>RTM</v>
          </cell>
          <cell r="Q486">
            <v>0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C487" t="str">
            <v>Wks</v>
          </cell>
          <cell r="D487" t="str">
            <v>Days</v>
          </cell>
          <cell r="E487" t="str">
            <v>Frames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L487">
            <v>9</v>
          </cell>
          <cell r="M487">
            <v>29</v>
          </cell>
          <cell r="N487">
            <v>0</v>
          </cell>
          <cell r="O487">
            <v>29</v>
          </cell>
          <cell r="P487">
            <v>0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C488">
            <v>4.6276599999999997</v>
          </cell>
          <cell r="D488">
            <v>62.393619999999999</v>
          </cell>
          <cell r="E488">
            <v>2313.83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L488">
            <v>6</v>
          </cell>
          <cell r="M488">
            <v>29</v>
          </cell>
          <cell r="N488">
            <v>0</v>
          </cell>
          <cell r="O488">
            <v>29</v>
          </cell>
          <cell r="P488">
            <v>0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O504" t="str">
            <v>WK Count</v>
          </cell>
          <cell r="P504" t="str">
            <v>Total Days</v>
          </cell>
          <cell r="Q504">
            <v>0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O505" t="str">
            <v>WK Count</v>
          </cell>
          <cell r="P505" t="str">
            <v>Total Days</v>
          </cell>
          <cell r="Q505">
            <v>0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B506" t="str">
            <v>ANIMATION</v>
          </cell>
          <cell r="C506" t="str">
            <v>INK &amp; PAINT</v>
          </cell>
          <cell r="D506" t="str">
            <v>ALPHA</v>
          </cell>
          <cell r="E506" t="str">
            <v>BETA</v>
          </cell>
          <cell r="F506" t="str">
            <v>ANIMATION</v>
          </cell>
          <cell r="G506">
            <v>25</v>
          </cell>
          <cell r="H506">
            <v>175.96809999999999</v>
          </cell>
          <cell r="I506" t="str">
            <v>INK &amp; PAINT</v>
          </cell>
          <cell r="J506">
            <v>0</v>
          </cell>
          <cell r="K506">
            <v>0</v>
          </cell>
          <cell r="L506" t="str">
            <v>ALPHA</v>
          </cell>
          <cell r="M506">
            <v>0</v>
          </cell>
          <cell r="N506" t="str">
            <v>BETA</v>
          </cell>
          <cell r="O506">
            <v>0</v>
          </cell>
          <cell r="P506" t="str">
            <v>RTM</v>
          </cell>
          <cell r="Q506">
            <v>0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C507" t="str">
            <v>ANIMATION</v>
          </cell>
          <cell r="D507" t="str">
            <v>Days</v>
          </cell>
          <cell r="E507" t="str">
            <v>Frames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K507">
            <v>25</v>
          </cell>
          <cell r="L507" t="str">
            <v>ALPHA</v>
          </cell>
          <cell r="M507">
            <v>0</v>
          </cell>
          <cell r="N507" t="str">
            <v>BETA</v>
          </cell>
          <cell r="O507">
            <v>0</v>
          </cell>
          <cell r="P507" t="str">
            <v>RTM</v>
          </cell>
          <cell r="Q507">
            <v>0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C508" t="str">
            <v>Wks</v>
          </cell>
          <cell r="D508" t="str">
            <v>Days</v>
          </cell>
          <cell r="E508" t="str">
            <v>Frames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L508">
            <v>28</v>
          </cell>
          <cell r="M508">
            <v>29</v>
          </cell>
          <cell r="N508">
            <v>0</v>
          </cell>
          <cell r="O508">
            <v>29</v>
          </cell>
          <cell r="P508">
            <v>0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C509">
            <v>23.138300000000001</v>
          </cell>
          <cell r="D509">
            <v>191.96809999999999</v>
          </cell>
          <cell r="E509">
            <v>2313.83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L509">
            <v>25</v>
          </cell>
          <cell r="M509">
            <v>29</v>
          </cell>
          <cell r="N509">
            <v>0</v>
          </cell>
          <cell r="O509">
            <v>29</v>
          </cell>
          <cell r="P509">
            <v>0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O525" t="str">
            <v>WK Count</v>
          </cell>
          <cell r="P525" t="str">
            <v>Total Days</v>
          </cell>
          <cell r="Q525">
            <v>0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O526" t="str">
            <v>WK Count</v>
          </cell>
          <cell r="P526" t="str">
            <v>Total Days</v>
          </cell>
          <cell r="Q526">
            <v>0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B527" t="str">
            <v>ANIMATION</v>
          </cell>
          <cell r="C527" t="str">
            <v>INK &amp; PAINT</v>
          </cell>
          <cell r="D527" t="str">
            <v>ALPHA</v>
          </cell>
          <cell r="E527" t="str">
            <v>BETA</v>
          </cell>
          <cell r="F527" t="str">
            <v>ANIMATION</v>
          </cell>
          <cell r="G527">
            <v>14</v>
          </cell>
          <cell r="H527">
            <v>98</v>
          </cell>
          <cell r="I527" t="str">
            <v>INK &amp; PAINT</v>
          </cell>
          <cell r="J527">
            <v>0</v>
          </cell>
          <cell r="K527">
            <v>0</v>
          </cell>
          <cell r="L527" t="str">
            <v>ALPHA</v>
          </cell>
          <cell r="M527">
            <v>0</v>
          </cell>
          <cell r="N527" t="str">
            <v>BETA</v>
          </cell>
          <cell r="O527">
            <v>0</v>
          </cell>
          <cell r="P527" t="str">
            <v>RTM</v>
          </cell>
          <cell r="Q527">
            <v>0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C528" t="str">
            <v>ANIMATION</v>
          </cell>
          <cell r="D528" t="str">
            <v>Days</v>
          </cell>
          <cell r="E528" t="str">
            <v>Frames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K528">
            <v>14</v>
          </cell>
          <cell r="L528" t="str">
            <v>ALPHA</v>
          </cell>
          <cell r="M528">
            <v>0</v>
          </cell>
          <cell r="N528" t="str">
            <v>BETA</v>
          </cell>
          <cell r="O528">
            <v>0</v>
          </cell>
          <cell r="P528" t="str">
            <v>RTM</v>
          </cell>
          <cell r="Q528">
            <v>0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C529" t="str">
            <v>Wks</v>
          </cell>
          <cell r="D529" t="str">
            <v>Days</v>
          </cell>
          <cell r="E529" t="str">
            <v>Frames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L529">
            <v>17</v>
          </cell>
          <cell r="M529">
            <v>29</v>
          </cell>
          <cell r="N529">
            <v>0</v>
          </cell>
          <cell r="O529">
            <v>29</v>
          </cell>
          <cell r="P529">
            <v>0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C530">
            <v>12</v>
          </cell>
          <cell r="D530">
            <v>114</v>
          </cell>
          <cell r="E530">
            <v>6000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L530">
            <v>14</v>
          </cell>
          <cell r="M530">
            <v>29</v>
          </cell>
          <cell r="N530">
            <v>0</v>
          </cell>
          <cell r="O530">
            <v>29</v>
          </cell>
          <cell r="P530">
            <v>0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O546" t="str">
            <v>WK Count</v>
          </cell>
          <cell r="P546" t="str">
            <v>Total Days</v>
          </cell>
          <cell r="Q546">
            <v>0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O547" t="str">
            <v>WK Count</v>
          </cell>
          <cell r="P547" t="str">
            <v>Total Days</v>
          </cell>
          <cell r="Q547">
            <v>0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B548" t="str">
            <v>ANIMATION</v>
          </cell>
          <cell r="C548" t="str">
            <v>INK &amp; PAINT</v>
          </cell>
          <cell r="D548" t="str">
            <v>ALPHA</v>
          </cell>
          <cell r="E548" t="str">
            <v>BETA</v>
          </cell>
          <cell r="F548" t="str">
            <v>ANIMATION</v>
          </cell>
          <cell r="G548">
            <v>6</v>
          </cell>
          <cell r="H548">
            <v>36.435933333333338</v>
          </cell>
          <cell r="I548" t="str">
            <v>INK &amp; PAINT</v>
          </cell>
          <cell r="J548">
            <v>0</v>
          </cell>
          <cell r="K548">
            <v>0</v>
          </cell>
          <cell r="L548" t="str">
            <v>ALPHA</v>
          </cell>
          <cell r="M548">
            <v>0</v>
          </cell>
          <cell r="N548" t="str">
            <v>BETA</v>
          </cell>
          <cell r="O548">
            <v>0</v>
          </cell>
          <cell r="P548" t="str">
            <v>RTM</v>
          </cell>
          <cell r="Q548">
            <v>0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C549" t="str">
            <v>ANIMATION</v>
          </cell>
          <cell r="D549" t="str">
            <v>Days</v>
          </cell>
          <cell r="E549" t="str">
            <v>Frames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K549">
            <v>6</v>
          </cell>
          <cell r="L549" t="str">
            <v>ALPHA</v>
          </cell>
          <cell r="M549">
            <v>0</v>
          </cell>
          <cell r="N549" t="str">
            <v>BETA</v>
          </cell>
          <cell r="O549">
            <v>0</v>
          </cell>
          <cell r="P549" t="str">
            <v>RTM</v>
          </cell>
          <cell r="Q549">
            <v>0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C550" t="str">
            <v>Wks</v>
          </cell>
          <cell r="D550" t="str">
            <v>Days</v>
          </cell>
          <cell r="E550" t="str">
            <v>Frames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L550">
            <v>8</v>
          </cell>
          <cell r="M550">
            <v>29</v>
          </cell>
          <cell r="N550">
            <v>0</v>
          </cell>
          <cell r="O550">
            <v>29</v>
          </cell>
          <cell r="P550">
            <v>0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C551">
            <v>3.2051333333333334</v>
          </cell>
          <cell r="D551">
            <v>52.435933333333338</v>
          </cell>
          <cell r="E551">
            <v>480.77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L551">
            <v>5</v>
          </cell>
          <cell r="M551">
            <v>29</v>
          </cell>
          <cell r="N551">
            <v>0</v>
          </cell>
          <cell r="O551">
            <v>29</v>
          </cell>
          <cell r="P551">
            <v>0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O567" t="str">
            <v>WK Count</v>
          </cell>
          <cell r="P567" t="str">
            <v>Total Days</v>
          </cell>
          <cell r="Q567">
            <v>0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O568" t="str">
            <v>WK Count</v>
          </cell>
          <cell r="P568" t="str">
            <v>Total Days</v>
          </cell>
          <cell r="Q568">
            <v>0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B569" t="str">
            <v>ANIMATION</v>
          </cell>
          <cell r="C569" t="str">
            <v>INK &amp; PAINT</v>
          </cell>
          <cell r="D569" t="str">
            <v>ALPHA</v>
          </cell>
          <cell r="E569" t="str">
            <v>BETA</v>
          </cell>
          <cell r="F569" t="str">
            <v>ANIMATION</v>
          </cell>
          <cell r="G569">
            <v>25</v>
          </cell>
          <cell r="H569">
            <v>175</v>
          </cell>
          <cell r="I569" t="str">
            <v>INK &amp; PAINT</v>
          </cell>
          <cell r="J569">
            <v>0</v>
          </cell>
          <cell r="K569">
            <v>0</v>
          </cell>
          <cell r="L569" t="str">
            <v>ALPHA</v>
          </cell>
          <cell r="M569">
            <v>0</v>
          </cell>
          <cell r="N569" t="str">
            <v>BETA</v>
          </cell>
          <cell r="O569">
            <v>0</v>
          </cell>
          <cell r="P569" t="str">
            <v>RTM</v>
          </cell>
          <cell r="Q569">
            <v>0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C570" t="str">
            <v>ANIMATION</v>
          </cell>
          <cell r="D570" t="str">
            <v>Days</v>
          </cell>
          <cell r="E570" t="str">
            <v>Frames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K570">
            <v>25</v>
          </cell>
          <cell r="L570" t="str">
            <v>ALPHA</v>
          </cell>
          <cell r="M570">
            <v>0</v>
          </cell>
          <cell r="N570" t="str">
            <v>BETA</v>
          </cell>
          <cell r="O570">
            <v>0</v>
          </cell>
          <cell r="P570" t="str">
            <v>RTM</v>
          </cell>
          <cell r="Q570">
            <v>0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C571" t="str">
            <v>Wks</v>
          </cell>
          <cell r="D571" t="str">
            <v>Days</v>
          </cell>
          <cell r="E571" t="str">
            <v>Frames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L571">
            <v>29</v>
          </cell>
          <cell r="M571">
            <v>29</v>
          </cell>
          <cell r="N571">
            <v>0</v>
          </cell>
          <cell r="O571">
            <v>29</v>
          </cell>
          <cell r="P571">
            <v>0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C572">
            <v>23</v>
          </cell>
          <cell r="D572">
            <v>201</v>
          </cell>
          <cell r="E572">
            <v>11500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L572">
            <v>25</v>
          </cell>
          <cell r="M572">
            <v>29</v>
          </cell>
          <cell r="N572">
            <v>0</v>
          </cell>
          <cell r="O572">
            <v>29</v>
          </cell>
          <cell r="P572">
            <v>0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  <row r="20513">
          <cell r="A20513" t="str">
            <v>PREP</v>
          </cell>
          <cell r="B20513" t="str">
            <v>Days</v>
          </cell>
        </row>
        <row r="65536">
          <cell r="A65536">
            <v>0</v>
          </cell>
          <cell r="N65536" t="str">
            <v>ENGINEERING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>
        <row r="1">
          <cell r="D1" t="str">
            <v>No BA Rekon:</v>
          </cell>
        </row>
      </sheetData>
      <sheetData sheetId="350">
        <row r="1">
          <cell r="D1" t="str">
            <v>No BA Rekon:</v>
          </cell>
        </row>
      </sheetData>
      <sheetData sheetId="351">
        <row r="1">
          <cell r="D1" t="str">
            <v>No BA Rekon:</v>
          </cell>
        </row>
      </sheetData>
      <sheetData sheetId="352">
        <row r="1">
          <cell r="D1" t="str">
            <v>No BA Rekon:</v>
          </cell>
        </row>
      </sheetData>
      <sheetData sheetId="353">
        <row r="1">
          <cell r="D1" t="str">
            <v>No BA Rekon:</v>
          </cell>
        </row>
      </sheetData>
      <sheetData sheetId="354">
        <row r="1">
          <cell r="D1" t="str">
            <v>No BA Rekon:</v>
          </cell>
        </row>
      </sheetData>
      <sheetData sheetId="355">
        <row r="1">
          <cell r="D1" t="str">
            <v>No BA Rekon:</v>
          </cell>
        </row>
      </sheetData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>
        <row r="1">
          <cell r="A1" t="str">
            <v>Item Code</v>
          </cell>
        </row>
      </sheetData>
      <sheetData sheetId="476">
        <row r="1">
          <cell r="A1" t="str">
            <v>Item Code</v>
          </cell>
        </row>
      </sheetData>
      <sheetData sheetId="477">
        <row r="1">
          <cell r="A1" t="str">
            <v>Item Code</v>
          </cell>
        </row>
      </sheetData>
      <sheetData sheetId="478">
        <row r="1">
          <cell r="A1" t="str">
            <v>Item Code</v>
          </cell>
        </row>
      </sheetData>
      <sheetData sheetId="479" refreshError="1"/>
      <sheetData sheetId="480">
        <row r="1">
          <cell r="A1" t="str">
            <v>Item Code</v>
          </cell>
        </row>
      </sheetData>
      <sheetData sheetId="481" refreshError="1"/>
      <sheetData sheetId="482">
        <row r="1">
          <cell r="A1" t="str">
            <v>Item Code</v>
          </cell>
        </row>
      </sheetData>
      <sheetData sheetId="483">
        <row r="1">
          <cell r="A1" t="str">
            <v>Item Code</v>
          </cell>
        </row>
      </sheetData>
      <sheetData sheetId="484">
        <row r="1">
          <cell r="A1" t="str">
            <v>Item Code</v>
          </cell>
        </row>
      </sheetData>
      <sheetData sheetId="485">
        <row r="1">
          <cell r="A1" t="str">
            <v>Item Code</v>
          </cell>
        </row>
      </sheetData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>
        <row r="1">
          <cell r="A1" t="str">
            <v>Item Code</v>
          </cell>
        </row>
      </sheetData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>
        <row r="1">
          <cell r="A1" t="str">
            <v>Item Code</v>
          </cell>
        </row>
      </sheetData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>
        <row r="1">
          <cell r="A1" t="str">
            <v>Item Code</v>
          </cell>
        </row>
      </sheetData>
      <sheetData sheetId="704">
        <row r="1">
          <cell r="A1" t="str">
            <v>Item Code</v>
          </cell>
        </row>
      </sheetData>
      <sheetData sheetId="705">
        <row r="1">
          <cell r="A1" t="str">
            <v>Item Code</v>
          </cell>
        </row>
      </sheetData>
      <sheetData sheetId="706">
        <row r="1">
          <cell r="A1" t="str">
            <v>Item Code</v>
          </cell>
        </row>
      </sheetData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1">
          <cell r="A1" t="str">
            <v>Item Code</v>
          </cell>
        </row>
      </sheetData>
      <sheetData sheetId="729">
        <row r="1">
          <cell r="A1" t="str">
            <v>Item Code</v>
          </cell>
        </row>
      </sheetData>
      <sheetData sheetId="730">
        <row r="1">
          <cell r="A1" t="str">
            <v>Item Code</v>
          </cell>
        </row>
      </sheetData>
      <sheetData sheetId="731">
        <row r="1">
          <cell r="A1" t="str">
            <v>Item Code</v>
          </cell>
        </row>
      </sheetData>
      <sheetData sheetId="732">
        <row r="1">
          <cell r="A1" t="str">
            <v>Item Code</v>
          </cell>
        </row>
      </sheetData>
      <sheetData sheetId="733">
        <row r="1">
          <cell r="A1" t="str">
            <v>Item Code</v>
          </cell>
        </row>
      </sheetData>
      <sheetData sheetId="734">
        <row r="1">
          <cell r="A1" t="str">
            <v>Item Code</v>
          </cell>
        </row>
      </sheetData>
      <sheetData sheetId="735">
        <row r="1">
          <cell r="A1" t="str">
            <v>Item Code</v>
          </cell>
        </row>
      </sheetData>
      <sheetData sheetId="736">
        <row r="1">
          <cell r="A1" t="str">
            <v>Item Code</v>
          </cell>
        </row>
      </sheetData>
      <sheetData sheetId="737">
        <row r="1">
          <cell r="A1" t="str">
            <v>Item Code</v>
          </cell>
        </row>
      </sheetData>
      <sheetData sheetId="738">
        <row r="1">
          <cell r="A1" t="str">
            <v>Item Code</v>
          </cell>
        </row>
      </sheetData>
      <sheetData sheetId="739">
        <row r="1">
          <cell r="A1" t="str">
            <v>Item Code</v>
          </cell>
        </row>
      </sheetData>
      <sheetData sheetId="740">
        <row r="1">
          <cell r="A1" t="str">
            <v>Item Code</v>
          </cell>
        </row>
      </sheetData>
      <sheetData sheetId="741">
        <row r="1">
          <cell r="A1" t="str">
            <v>Item Code</v>
          </cell>
        </row>
      </sheetData>
      <sheetData sheetId="742">
        <row r="1">
          <cell r="A1" t="str">
            <v>Item Code</v>
          </cell>
        </row>
      </sheetData>
      <sheetData sheetId="743">
        <row r="1">
          <cell r="A1" t="str">
            <v>Item Code</v>
          </cell>
        </row>
      </sheetData>
      <sheetData sheetId="744">
        <row r="1">
          <cell r="A1" t="str">
            <v>Item Code</v>
          </cell>
        </row>
      </sheetData>
      <sheetData sheetId="745">
        <row r="1">
          <cell r="A1" t="str">
            <v>Item Code</v>
          </cell>
        </row>
      </sheetData>
      <sheetData sheetId="746">
        <row r="1">
          <cell r="A1" t="str">
            <v>Item Code</v>
          </cell>
        </row>
      </sheetData>
      <sheetData sheetId="747">
        <row r="1">
          <cell r="A1" t="str">
            <v>Item Code</v>
          </cell>
        </row>
      </sheetData>
      <sheetData sheetId="748">
        <row r="1">
          <cell r="A1" t="str">
            <v>Item Code</v>
          </cell>
        </row>
      </sheetData>
      <sheetData sheetId="749">
        <row r="1">
          <cell r="A1" t="str">
            <v>Item Code</v>
          </cell>
        </row>
      </sheetData>
      <sheetData sheetId="750">
        <row r="1">
          <cell r="A1" t="str">
            <v>Item Code</v>
          </cell>
        </row>
      </sheetData>
      <sheetData sheetId="751">
        <row r="1">
          <cell r="A1" t="str">
            <v>Item Code</v>
          </cell>
        </row>
      </sheetData>
      <sheetData sheetId="752">
        <row r="1">
          <cell r="A1" t="str">
            <v>Item Code</v>
          </cell>
        </row>
      </sheetData>
      <sheetData sheetId="753">
        <row r="1">
          <cell r="A1" t="str">
            <v>Item Code</v>
          </cell>
        </row>
      </sheetData>
      <sheetData sheetId="754">
        <row r="1">
          <cell r="A1" t="str">
            <v>Item Code</v>
          </cell>
        </row>
      </sheetData>
      <sheetData sheetId="755">
        <row r="1">
          <cell r="A1" t="str">
            <v>Item Code</v>
          </cell>
        </row>
      </sheetData>
      <sheetData sheetId="756">
        <row r="1">
          <cell r="A1" t="str">
            <v>Item Code</v>
          </cell>
        </row>
      </sheetData>
      <sheetData sheetId="757">
        <row r="1">
          <cell r="A1" t="str">
            <v>Item Code</v>
          </cell>
        </row>
      </sheetData>
      <sheetData sheetId="758">
        <row r="1">
          <cell r="A1" t="str">
            <v>Item Code</v>
          </cell>
        </row>
      </sheetData>
      <sheetData sheetId="759">
        <row r="1">
          <cell r="A1" t="str">
            <v>Item Code</v>
          </cell>
        </row>
      </sheetData>
      <sheetData sheetId="760">
        <row r="1">
          <cell r="A1" t="str">
            <v>Item Code</v>
          </cell>
        </row>
      </sheetData>
      <sheetData sheetId="761">
        <row r="1">
          <cell r="A1" t="str">
            <v>Item Code</v>
          </cell>
        </row>
      </sheetData>
      <sheetData sheetId="762">
        <row r="1">
          <cell r="A1" t="str">
            <v>Item Code</v>
          </cell>
        </row>
      </sheetData>
      <sheetData sheetId="763">
        <row r="1">
          <cell r="A1" t="str">
            <v>Item Code</v>
          </cell>
        </row>
      </sheetData>
      <sheetData sheetId="764">
        <row r="1">
          <cell r="A1" t="str">
            <v>Item Code</v>
          </cell>
        </row>
      </sheetData>
      <sheetData sheetId="765">
        <row r="1">
          <cell r="A1" t="str">
            <v>Item Code</v>
          </cell>
        </row>
      </sheetData>
      <sheetData sheetId="766">
        <row r="1">
          <cell r="A1" t="str">
            <v>Item Code</v>
          </cell>
        </row>
      </sheetData>
      <sheetData sheetId="767">
        <row r="1">
          <cell r="A1" t="str">
            <v>Item Code</v>
          </cell>
        </row>
      </sheetData>
      <sheetData sheetId="768">
        <row r="1">
          <cell r="A1" t="str">
            <v>Item Code</v>
          </cell>
        </row>
      </sheetData>
      <sheetData sheetId="769">
        <row r="1">
          <cell r="A1" t="str">
            <v>Item Code</v>
          </cell>
        </row>
      </sheetData>
      <sheetData sheetId="770">
        <row r="1">
          <cell r="A1" t="str">
            <v>Item Code</v>
          </cell>
        </row>
      </sheetData>
      <sheetData sheetId="771">
        <row r="1">
          <cell r="A1" t="str">
            <v>Item Code</v>
          </cell>
        </row>
      </sheetData>
      <sheetData sheetId="772">
        <row r="1">
          <cell r="A1" t="str">
            <v>Item Code</v>
          </cell>
        </row>
      </sheetData>
      <sheetData sheetId="773">
        <row r="1">
          <cell r="A1" t="str">
            <v>Item Code</v>
          </cell>
        </row>
      </sheetData>
      <sheetData sheetId="774">
        <row r="1">
          <cell r="A1" t="str">
            <v>Item Code</v>
          </cell>
        </row>
      </sheetData>
      <sheetData sheetId="775">
        <row r="1">
          <cell r="A1" t="str">
            <v>Item Code</v>
          </cell>
        </row>
      </sheetData>
      <sheetData sheetId="776">
        <row r="1">
          <cell r="A1" t="str">
            <v>Item Code</v>
          </cell>
        </row>
      </sheetData>
      <sheetData sheetId="777">
        <row r="1">
          <cell r="A1" t="str">
            <v>Item Code</v>
          </cell>
        </row>
      </sheetData>
      <sheetData sheetId="778">
        <row r="1">
          <cell r="A1" t="str">
            <v>Item Code</v>
          </cell>
        </row>
      </sheetData>
      <sheetData sheetId="779">
        <row r="1">
          <cell r="A1" t="str">
            <v>Item Code</v>
          </cell>
        </row>
      </sheetData>
      <sheetData sheetId="780">
        <row r="1">
          <cell r="A1" t="str">
            <v>Item Code</v>
          </cell>
        </row>
      </sheetData>
      <sheetData sheetId="781">
        <row r="1">
          <cell r="A1" t="str">
            <v>Item Code</v>
          </cell>
        </row>
      </sheetData>
      <sheetData sheetId="782">
        <row r="1">
          <cell r="A1" t="str">
            <v>Item Code</v>
          </cell>
        </row>
      </sheetData>
      <sheetData sheetId="783">
        <row r="1">
          <cell r="A1" t="str">
            <v>Item Code</v>
          </cell>
        </row>
      </sheetData>
      <sheetData sheetId="784">
        <row r="1">
          <cell r="A1" t="str">
            <v>Item Code</v>
          </cell>
        </row>
      </sheetData>
      <sheetData sheetId="785">
        <row r="1">
          <cell r="A1" t="str">
            <v>Item Code</v>
          </cell>
        </row>
      </sheetData>
      <sheetData sheetId="786">
        <row r="1">
          <cell r="A1" t="str">
            <v>Item Code</v>
          </cell>
        </row>
      </sheetData>
      <sheetData sheetId="787">
        <row r="1">
          <cell r="A1" t="str">
            <v>Item Code</v>
          </cell>
        </row>
      </sheetData>
      <sheetData sheetId="788">
        <row r="1">
          <cell r="A1" t="str">
            <v>Item Code</v>
          </cell>
        </row>
      </sheetData>
      <sheetData sheetId="789">
        <row r="1">
          <cell r="A1" t="str">
            <v>Item Code</v>
          </cell>
        </row>
      </sheetData>
      <sheetData sheetId="790">
        <row r="1">
          <cell r="A1" t="str">
            <v>Item Code</v>
          </cell>
        </row>
      </sheetData>
      <sheetData sheetId="791">
        <row r="1">
          <cell r="A1" t="str">
            <v>Item Code</v>
          </cell>
        </row>
      </sheetData>
      <sheetData sheetId="792">
        <row r="1">
          <cell r="A1" t="str">
            <v>Item Code</v>
          </cell>
        </row>
      </sheetData>
      <sheetData sheetId="793">
        <row r="1">
          <cell r="A1" t="str">
            <v>Item Code</v>
          </cell>
        </row>
      </sheetData>
      <sheetData sheetId="794">
        <row r="1">
          <cell r="A1" t="str">
            <v>Item Code</v>
          </cell>
        </row>
      </sheetData>
      <sheetData sheetId="795">
        <row r="1">
          <cell r="A1" t="str">
            <v>Item Code</v>
          </cell>
        </row>
      </sheetData>
      <sheetData sheetId="796">
        <row r="1">
          <cell r="A1" t="str">
            <v>Item Code</v>
          </cell>
        </row>
      </sheetData>
      <sheetData sheetId="797">
        <row r="1">
          <cell r="A1" t="str">
            <v>Item Code</v>
          </cell>
        </row>
      </sheetData>
      <sheetData sheetId="798">
        <row r="1">
          <cell r="A1" t="str">
            <v>Item Code</v>
          </cell>
        </row>
      </sheetData>
      <sheetData sheetId="799">
        <row r="1">
          <cell r="A1" t="str">
            <v>Item Code</v>
          </cell>
        </row>
      </sheetData>
      <sheetData sheetId="800">
        <row r="1">
          <cell r="A1" t="str">
            <v>Item Code</v>
          </cell>
        </row>
      </sheetData>
      <sheetData sheetId="801">
        <row r="1">
          <cell r="A1" t="str">
            <v>Item Code</v>
          </cell>
        </row>
      </sheetData>
      <sheetData sheetId="802">
        <row r="1">
          <cell r="A1" t="str">
            <v>Item Code</v>
          </cell>
        </row>
      </sheetData>
      <sheetData sheetId="803">
        <row r="1">
          <cell r="A1" t="str">
            <v>Item Code</v>
          </cell>
        </row>
      </sheetData>
      <sheetData sheetId="804">
        <row r="1">
          <cell r="A1" t="str">
            <v>Item Code</v>
          </cell>
        </row>
      </sheetData>
      <sheetData sheetId="805">
        <row r="1">
          <cell r="A1" t="str">
            <v>Item Code</v>
          </cell>
        </row>
      </sheetData>
      <sheetData sheetId="806">
        <row r="1">
          <cell r="A1" t="str">
            <v>Item Code</v>
          </cell>
        </row>
      </sheetData>
      <sheetData sheetId="807">
        <row r="1">
          <cell r="A1" t="str">
            <v>Item Code</v>
          </cell>
        </row>
      </sheetData>
      <sheetData sheetId="808">
        <row r="1">
          <cell r="A1" t="str">
            <v>Item Code</v>
          </cell>
        </row>
      </sheetData>
      <sheetData sheetId="809">
        <row r="1">
          <cell r="A1" t="str">
            <v>Item Code</v>
          </cell>
        </row>
      </sheetData>
      <sheetData sheetId="810">
        <row r="1">
          <cell r="A1" t="str">
            <v>Item Code</v>
          </cell>
        </row>
      </sheetData>
      <sheetData sheetId="811">
        <row r="1">
          <cell r="A1" t="str">
            <v>Item Code</v>
          </cell>
        </row>
      </sheetData>
      <sheetData sheetId="812">
        <row r="1">
          <cell r="A1" t="str">
            <v>Item Code</v>
          </cell>
        </row>
      </sheetData>
      <sheetData sheetId="813">
        <row r="1">
          <cell r="A1" t="str">
            <v>Item Code</v>
          </cell>
        </row>
      </sheetData>
      <sheetData sheetId="814">
        <row r="1">
          <cell r="A1" t="str">
            <v>Item Code</v>
          </cell>
        </row>
      </sheetData>
      <sheetData sheetId="815">
        <row r="1">
          <cell r="A1" t="str">
            <v>Item Code</v>
          </cell>
        </row>
      </sheetData>
      <sheetData sheetId="816">
        <row r="1">
          <cell r="A1" t="str">
            <v>Item Code</v>
          </cell>
        </row>
      </sheetData>
      <sheetData sheetId="817">
        <row r="1">
          <cell r="A1" t="str">
            <v>Item Code</v>
          </cell>
        </row>
      </sheetData>
      <sheetData sheetId="818">
        <row r="1">
          <cell r="A1" t="str">
            <v>Item Code</v>
          </cell>
        </row>
      </sheetData>
      <sheetData sheetId="819">
        <row r="1">
          <cell r="A1" t="str">
            <v>Item Code</v>
          </cell>
        </row>
      </sheetData>
      <sheetData sheetId="820">
        <row r="1">
          <cell r="A1" t="str">
            <v>Item Code</v>
          </cell>
        </row>
      </sheetData>
      <sheetData sheetId="821">
        <row r="1">
          <cell r="A1" t="str">
            <v>Item Code</v>
          </cell>
        </row>
      </sheetData>
      <sheetData sheetId="822">
        <row r="1">
          <cell r="A1" t="str">
            <v>Item Code</v>
          </cell>
        </row>
      </sheetData>
      <sheetData sheetId="823">
        <row r="1">
          <cell r="A1" t="str">
            <v>Item Code</v>
          </cell>
        </row>
      </sheetData>
      <sheetData sheetId="824">
        <row r="1">
          <cell r="A1" t="str">
            <v>Item Code</v>
          </cell>
        </row>
      </sheetData>
      <sheetData sheetId="825">
        <row r="1">
          <cell r="A1" t="str">
            <v>Item Code</v>
          </cell>
        </row>
      </sheetData>
      <sheetData sheetId="826">
        <row r="1">
          <cell r="A1" t="str">
            <v>Item Code</v>
          </cell>
        </row>
      </sheetData>
      <sheetData sheetId="827">
        <row r="1">
          <cell r="A1" t="str">
            <v>Item Code</v>
          </cell>
        </row>
      </sheetData>
      <sheetData sheetId="828">
        <row r="1">
          <cell r="A1" t="str">
            <v>Item Code</v>
          </cell>
        </row>
      </sheetData>
      <sheetData sheetId="829">
        <row r="1">
          <cell r="A1" t="str">
            <v>Item Code</v>
          </cell>
        </row>
      </sheetData>
      <sheetData sheetId="830">
        <row r="1">
          <cell r="A1" t="str">
            <v>Item Code</v>
          </cell>
        </row>
      </sheetData>
      <sheetData sheetId="831">
        <row r="1">
          <cell r="A1" t="str">
            <v>Item Code</v>
          </cell>
        </row>
      </sheetData>
      <sheetData sheetId="832">
        <row r="1">
          <cell r="A1" t="str">
            <v>Item Code</v>
          </cell>
        </row>
      </sheetData>
      <sheetData sheetId="833">
        <row r="1">
          <cell r="A1" t="str">
            <v>Item Code</v>
          </cell>
        </row>
      </sheetData>
      <sheetData sheetId="834">
        <row r="1">
          <cell r="A1" t="str">
            <v>Item Code</v>
          </cell>
        </row>
      </sheetData>
      <sheetData sheetId="835">
        <row r="1">
          <cell r="A1" t="str">
            <v>Item Code</v>
          </cell>
        </row>
      </sheetData>
      <sheetData sheetId="836">
        <row r="1">
          <cell r="A1" t="str">
            <v>Item Code</v>
          </cell>
        </row>
      </sheetData>
      <sheetData sheetId="837">
        <row r="1">
          <cell r="A1" t="str">
            <v>Item Code</v>
          </cell>
        </row>
      </sheetData>
      <sheetData sheetId="838">
        <row r="1">
          <cell r="A1" t="str">
            <v>Item Code</v>
          </cell>
        </row>
      </sheetData>
      <sheetData sheetId="839">
        <row r="1">
          <cell r="A1" t="str">
            <v>Item Code</v>
          </cell>
        </row>
      </sheetData>
      <sheetData sheetId="840">
        <row r="1">
          <cell r="A1" t="str">
            <v>Item Code</v>
          </cell>
        </row>
      </sheetData>
      <sheetData sheetId="841">
        <row r="1">
          <cell r="A1" t="str">
            <v>Item Code</v>
          </cell>
        </row>
      </sheetData>
      <sheetData sheetId="842">
        <row r="1">
          <cell r="A1" t="str">
            <v>Item Code</v>
          </cell>
        </row>
      </sheetData>
      <sheetData sheetId="843">
        <row r="1">
          <cell r="A1" t="str">
            <v>Item Code</v>
          </cell>
        </row>
      </sheetData>
      <sheetData sheetId="844">
        <row r="1">
          <cell r="A1" t="str">
            <v>Item Code</v>
          </cell>
        </row>
      </sheetData>
      <sheetData sheetId="845">
        <row r="1">
          <cell r="A1" t="str">
            <v>Item Code</v>
          </cell>
        </row>
      </sheetData>
      <sheetData sheetId="846">
        <row r="1">
          <cell r="A1" t="str">
            <v>Item Code</v>
          </cell>
        </row>
      </sheetData>
      <sheetData sheetId="847">
        <row r="1">
          <cell r="A1" t="str">
            <v>Item Code</v>
          </cell>
        </row>
      </sheetData>
      <sheetData sheetId="848">
        <row r="1">
          <cell r="A1" t="str">
            <v>Item Code</v>
          </cell>
        </row>
      </sheetData>
      <sheetData sheetId="849">
        <row r="1">
          <cell r="A1" t="str">
            <v>Item Code</v>
          </cell>
        </row>
      </sheetData>
      <sheetData sheetId="850">
        <row r="1">
          <cell r="A1" t="str">
            <v>Item Code</v>
          </cell>
        </row>
      </sheetData>
      <sheetData sheetId="851">
        <row r="1">
          <cell r="A1" t="str">
            <v>Item Code</v>
          </cell>
        </row>
      </sheetData>
      <sheetData sheetId="852">
        <row r="1">
          <cell r="A1" t="str">
            <v>Item Code</v>
          </cell>
        </row>
      </sheetData>
      <sheetData sheetId="853">
        <row r="1">
          <cell r="A1" t="str">
            <v>Item Code</v>
          </cell>
        </row>
      </sheetData>
      <sheetData sheetId="854">
        <row r="1">
          <cell r="A1" t="str">
            <v>Item Code</v>
          </cell>
        </row>
      </sheetData>
      <sheetData sheetId="855">
        <row r="1">
          <cell r="A1" t="str">
            <v>Item Code</v>
          </cell>
        </row>
      </sheetData>
      <sheetData sheetId="856">
        <row r="1">
          <cell r="A1" t="str">
            <v>Item Code</v>
          </cell>
        </row>
      </sheetData>
      <sheetData sheetId="857">
        <row r="1">
          <cell r="A1" t="str">
            <v>Item Code</v>
          </cell>
        </row>
      </sheetData>
      <sheetData sheetId="858">
        <row r="1">
          <cell r="A1" t="str">
            <v>Item Code</v>
          </cell>
        </row>
      </sheetData>
      <sheetData sheetId="859">
        <row r="1">
          <cell r="A1" t="str">
            <v>MAP Listing Fees Propopsal 2019</v>
          </cell>
        </row>
      </sheetData>
      <sheetData sheetId="860">
        <row r="1">
          <cell r="A1" t="str">
            <v>MAP Listing Fees Propopsal 2019</v>
          </cell>
        </row>
      </sheetData>
      <sheetData sheetId="861">
        <row r="1">
          <cell r="A1" t="str">
            <v>Item Code</v>
          </cell>
        </row>
      </sheetData>
      <sheetData sheetId="862">
        <row r="1">
          <cell r="D1" t="str">
            <v>No BA Rekon:</v>
          </cell>
        </row>
      </sheetData>
      <sheetData sheetId="863">
        <row r="1">
          <cell r="A1" t="str">
            <v>Item Code</v>
          </cell>
        </row>
      </sheetData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>
        <row r="1">
          <cell r="A1" t="str">
            <v>Item Code</v>
          </cell>
        </row>
      </sheetData>
      <sheetData sheetId="874">
        <row r="1">
          <cell r="A1" t="str">
            <v>Item Code</v>
          </cell>
        </row>
      </sheetData>
      <sheetData sheetId="875">
        <row r="1">
          <cell r="D1" t="str">
            <v>No BA Rekon:</v>
          </cell>
        </row>
      </sheetData>
      <sheetData sheetId="876">
        <row r="1">
          <cell r="A1" t="str">
            <v>Item Code</v>
          </cell>
        </row>
      </sheetData>
      <sheetData sheetId="877" refreshError="1"/>
      <sheetData sheetId="878">
        <row r="1">
          <cell r="A1" t="str">
            <v>Item Code</v>
          </cell>
        </row>
      </sheetData>
      <sheetData sheetId="879">
        <row r="1">
          <cell r="A1" t="str">
            <v>Item Code</v>
          </cell>
        </row>
      </sheetData>
      <sheetData sheetId="880">
        <row r="1">
          <cell r="D1" t="str">
            <v>No BA Rekon:</v>
          </cell>
        </row>
      </sheetData>
      <sheetData sheetId="881">
        <row r="1">
          <cell r="A1" t="str">
            <v>Item Code</v>
          </cell>
        </row>
      </sheetData>
      <sheetData sheetId="882">
        <row r="1">
          <cell r="A1" t="str">
            <v>Item Code</v>
          </cell>
        </row>
      </sheetData>
      <sheetData sheetId="883">
        <row r="1">
          <cell r="A1" t="str">
            <v>Item Code</v>
          </cell>
        </row>
      </sheetData>
      <sheetData sheetId="884">
        <row r="1">
          <cell r="A1" t="str">
            <v>Item Code</v>
          </cell>
        </row>
      </sheetData>
      <sheetData sheetId="885">
        <row r="1">
          <cell r="A1" t="str">
            <v>Item Code</v>
          </cell>
        </row>
      </sheetData>
      <sheetData sheetId="886">
        <row r="1">
          <cell r="A1" t="str">
            <v>Item Code</v>
          </cell>
        </row>
      </sheetData>
      <sheetData sheetId="887" refreshError="1"/>
      <sheetData sheetId="888"/>
      <sheetData sheetId="889"/>
      <sheetData sheetId="890"/>
      <sheetData sheetId="891"/>
      <sheetData sheetId="892"/>
      <sheetData sheetId="893"/>
      <sheetData sheetId="894"/>
      <sheetData sheetId="895">
        <row r="1">
          <cell r="A1" t="str">
            <v>Item Code</v>
          </cell>
        </row>
      </sheetData>
      <sheetData sheetId="896">
        <row r="1">
          <cell r="A1" t="str">
            <v>Item Code</v>
          </cell>
        </row>
      </sheetData>
      <sheetData sheetId="897">
        <row r="1">
          <cell r="A1" t="str">
            <v>Item Code</v>
          </cell>
        </row>
      </sheetData>
      <sheetData sheetId="898">
        <row r="1">
          <cell r="A1" t="str">
            <v>Item Code</v>
          </cell>
        </row>
      </sheetData>
      <sheetData sheetId="899">
        <row r="1">
          <cell r="A1" t="str">
            <v>Item Code</v>
          </cell>
        </row>
      </sheetData>
      <sheetData sheetId="900">
        <row r="1">
          <cell r="A1" t="str">
            <v>Item Code</v>
          </cell>
        </row>
      </sheetData>
      <sheetData sheetId="901">
        <row r="1">
          <cell r="A1" t="str">
            <v>Item Code</v>
          </cell>
        </row>
      </sheetData>
      <sheetData sheetId="902">
        <row r="1">
          <cell r="A1" t="str">
            <v>Item Code</v>
          </cell>
        </row>
      </sheetData>
      <sheetData sheetId="903">
        <row r="1">
          <cell r="A1" t="str">
            <v>Item Code</v>
          </cell>
        </row>
      </sheetData>
      <sheetData sheetId="904">
        <row r="1">
          <cell r="A1" t="str">
            <v>Item Code</v>
          </cell>
        </row>
      </sheetData>
      <sheetData sheetId="905">
        <row r="1">
          <cell r="A1" t="str">
            <v>Item Code</v>
          </cell>
        </row>
      </sheetData>
      <sheetData sheetId="906">
        <row r="1">
          <cell r="A1" t="str">
            <v>Item Code</v>
          </cell>
        </row>
      </sheetData>
      <sheetData sheetId="907">
        <row r="1">
          <cell r="A1" t="str">
            <v>Item Code</v>
          </cell>
        </row>
      </sheetData>
      <sheetData sheetId="908">
        <row r="1">
          <cell r="A1" t="str">
            <v>Item Code</v>
          </cell>
        </row>
      </sheetData>
      <sheetData sheetId="909">
        <row r="1">
          <cell r="A1" t="str">
            <v>Item Code</v>
          </cell>
        </row>
      </sheetData>
      <sheetData sheetId="910">
        <row r="1">
          <cell r="A1" t="str">
            <v>Item Code</v>
          </cell>
        </row>
      </sheetData>
      <sheetData sheetId="911">
        <row r="1">
          <cell r="A1" t="str">
            <v>Item Code</v>
          </cell>
        </row>
      </sheetData>
      <sheetData sheetId="912">
        <row r="1">
          <cell r="A1" t="str">
            <v>Item Code</v>
          </cell>
        </row>
      </sheetData>
      <sheetData sheetId="913">
        <row r="1">
          <cell r="A1" t="str">
            <v>Item Code</v>
          </cell>
        </row>
      </sheetData>
      <sheetData sheetId="914">
        <row r="1">
          <cell r="A1" t="str">
            <v>Item Code</v>
          </cell>
        </row>
      </sheetData>
      <sheetData sheetId="915">
        <row r="1">
          <cell r="A1" t="str">
            <v>Item Code</v>
          </cell>
        </row>
      </sheetData>
      <sheetData sheetId="916">
        <row r="1">
          <cell r="A1" t="str">
            <v>Item Code</v>
          </cell>
        </row>
      </sheetData>
      <sheetData sheetId="917">
        <row r="1">
          <cell r="A1" t="str">
            <v>Item Code</v>
          </cell>
        </row>
      </sheetData>
      <sheetData sheetId="918">
        <row r="1">
          <cell r="A1" t="str">
            <v>Item Code</v>
          </cell>
        </row>
      </sheetData>
      <sheetData sheetId="919">
        <row r="1">
          <cell r="A1" t="str">
            <v>Item Code</v>
          </cell>
        </row>
      </sheetData>
      <sheetData sheetId="920">
        <row r="1">
          <cell r="A1" t="str">
            <v>Item Code</v>
          </cell>
        </row>
      </sheetData>
      <sheetData sheetId="921">
        <row r="1">
          <cell r="A1" t="str">
            <v>Item Code</v>
          </cell>
        </row>
      </sheetData>
      <sheetData sheetId="922">
        <row r="1">
          <cell r="A1" t="str">
            <v>Item Code</v>
          </cell>
        </row>
      </sheetData>
      <sheetData sheetId="923">
        <row r="1">
          <cell r="A1" t="str">
            <v>Item Code</v>
          </cell>
        </row>
      </sheetData>
      <sheetData sheetId="924">
        <row r="1">
          <cell r="A1" t="str">
            <v>Item Code</v>
          </cell>
        </row>
      </sheetData>
      <sheetData sheetId="925">
        <row r="1">
          <cell r="A1" t="str">
            <v>Item Code</v>
          </cell>
        </row>
      </sheetData>
      <sheetData sheetId="926">
        <row r="1">
          <cell r="A1" t="str">
            <v>Item Code</v>
          </cell>
        </row>
      </sheetData>
      <sheetData sheetId="927">
        <row r="1">
          <cell r="A1" t="str">
            <v>Item Code</v>
          </cell>
        </row>
      </sheetData>
      <sheetData sheetId="928">
        <row r="1">
          <cell r="A1" t="str">
            <v>Item Code</v>
          </cell>
        </row>
      </sheetData>
      <sheetData sheetId="929">
        <row r="1">
          <cell r="A1" t="str">
            <v>Item Code</v>
          </cell>
        </row>
      </sheetData>
      <sheetData sheetId="930">
        <row r="1">
          <cell r="A1" t="str">
            <v>Item Code</v>
          </cell>
        </row>
      </sheetData>
      <sheetData sheetId="931">
        <row r="1">
          <cell r="A1" t="str">
            <v>Item Code</v>
          </cell>
        </row>
      </sheetData>
      <sheetData sheetId="932">
        <row r="1">
          <cell r="A1" t="str">
            <v>Item Code</v>
          </cell>
        </row>
      </sheetData>
      <sheetData sheetId="933">
        <row r="1">
          <cell r="A1" t="str">
            <v>Item Code</v>
          </cell>
        </row>
      </sheetData>
      <sheetData sheetId="934">
        <row r="1">
          <cell r="A1" t="str">
            <v>Item Code</v>
          </cell>
        </row>
      </sheetData>
      <sheetData sheetId="935">
        <row r="1">
          <cell r="A1" t="str">
            <v>Item Code</v>
          </cell>
        </row>
      </sheetData>
      <sheetData sheetId="936">
        <row r="1">
          <cell r="A1" t="str">
            <v>Item Code</v>
          </cell>
        </row>
      </sheetData>
      <sheetData sheetId="937">
        <row r="1">
          <cell r="A1" t="str">
            <v>Item Code</v>
          </cell>
        </row>
      </sheetData>
      <sheetData sheetId="938">
        <row r="1">
          <cell r="A1" t="str">
            <v>Item Code</v>
          </cell>
        </row>
      </sheetData>
      <sheetData sheetId="939">
        <row r="1">
          <cell r="A1" t="str">
            <v>Item Code</v>
          </cell>
        </row>
      </sheetData>
      <sheetData sheetId="940">
        <row r="1">
          <cell r="A1" t="str">
            <v>Item Code</v>
          </cell>
        </row>
      </sheetData>
      <sheetData sheetId="941">
        <row r="1">
          <cell r="A1" t="str">
            <v>Item Code</v>
          </cell>
        </row>
      </sheetData>
      <sheetData sheetId="942">
        <row r="1">
          <cell r="A1" t="str">
            <v>Item Code</v>
          </cell>
        </row>
      </sheetData>
      <sheetData sheetId="943">
        <row r="1">
          <cell r="A1" t="str">
            <v>Item Code</v>
          </cell>
        </row>
      </sheetData>
      <sheetData sheetId="944">
        <row r="1">
          <cell r="A1" t="str">
            <v>Item Code</v>
          </cell>
        </row>
      </sheetData>
      <sheetData sheetId="945">
        <row r="1">
          <cell r="A1" t="str">
            <v>Item Code</v>
          </cell>
        </row>
      </sheetData>
      <sheetData sheetId="946">
        <row r="1">
          <cell r="A1" t="str">
            <v>Item Code</v>
          </cell>
        </row>
      </sheetData>
      <sheetData sheetId="947">
        <row r="1">
          <cell r="A1" t="str">
            <v>Item Code</v>
          </cell>
        </row>
      </sheetData>
      <sheetData sheetId="948">
        <row r="1">
          <cell r="A1" t="str">
            <v>Item Code</v>
          </cell>
        </row>
      </sheetData>
      <sheetData sheetId="949">
        <row r="1">
          <cell r="A1" t="str">
            <v>Item Code</v>
          </cell>
        </row>
      </sheetData>
      <sheetData sheetId="950">
        <row r="1">
          <cell r="A1" t="str">
            <v>Item Code</v>
          </cell>
        </row>
      </sheetData>
      <sheetData sheetId="951">
        <row r="1">
          <cell r="A1" t="str">
            <v>Item Code</v>
          </cell>
        </row>
      </sheetData>
      <sheetData sheetId="952">
        <row r="1">
          <cell r="A1" t="str">
            <v>Item Code</v>
          </cell>
        </row>
      </sheetData>
      <sheetData sheetId="953">
        <row r="1">
          <cell r="A1" t="str">
            <v>Item Code</v>
          </cell>
        </row>
      </sheetData>
      <sheetData sheetId="954">
        <row r="1">
          <cell r="A1" t="str">
            <v>Item Code</v>
          </cell>
        </row>
      </sheetData>
      <sheetData sheetId="955">
        <row r="1">
          <cell r="A1" t="str">
            <v>Item Code</v>
          </cell>
        </row>
      </sheetData>
      <sheetData sheetId="956">
        <row r="1">
          <cell r="A1" t="str">
            <v>Item Code</v>
          </cell>
        </row>
      </sheetData>
      <sheetData sheetId="957">
        <row r="1">
          <cell r="A1" t="str">
            <v>Item Code</v>
          </cell>
        </row>
      </sheetData>
      <sheetData sheetId="958">
        <row r="1">
          <cell r="A1" t="str">
            <v>Item Code</v>
          </cell>
        </row>
      </sheetData>
      <sheetData sheetId="959">
        <row r="1">
          <cell r="A1" t="str">
            <v>Item Code</v>
          </cell>
        </row>
      </sheetData>
      <sheetData sheetId="960"/>
      <sheetData sheetId="961"/>
      <sheetData sheetId="962">
        <row r="1">
          <cell r="A1" t="str">
            <v>Item Code</v>
          </cell>
        </row>
      </sheetData>
      <sheetData sheetId="963">
        <row r="1">
          <cell r="A1" t="str">
            <v>Item Code</v>
          </cell>
        </row>
      </sheetData>
      <sheetData sheetId="964">
        <row r="1">
          <cell r="A1" t="str">
            <v>Item Code</v>
          </cell>
        </row>
      </sheetData>
      <sheetData sheetId="965">
        <row r="1">
          <cell r="A1" t="str">
            <v>Item Code</v>
          </cell>
        </row>
      </sheetData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>
        <row r="1">
          <cell r="A1" t="str">
            <v>Item Code</v>
          </cell>
        </row>
      </sheetData>
      <sheetData sheetId="999">
        <row r="1">
          <cell r="A1" t="str">
            <v>Item Code</v>
          </cell>
        </row>
      </sheetData>
      <sheetData sheetId="1000">
        <row r="1">
          <cell r="A1" t="str">
            <v>Item Code</v>
          </cell>
        </row>
      </sheetData>
      <sheetData sheetId="1001">
        <row r="1">
          <cell r="A1" t="str">
            <v>Item Code</v>
          </cell>
        </row>
      </sheetData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>
        <row r="1">
          <cell r="A1" t="str">
            <v>Item Code</v>
          </cell>
        </row>
      </sheetData>
      <sheetData sheetId="1045">
        <row r="1">
          <cell r="A1" t="str">
            <v>Item Code</v>
          </cell>
        </row>
      </sheetData>
      <sheetData sheetId="1046">
        <row r="1">
          <cell r="A1" t="str">
            <v>Item Code</v>
          </cell>
        </row>
      </sheetData>
      <sheetData sheetId="1047">
        <row r="1">
          <cell r="A1" t="str">
            <v>Item Code</v>
          </cell>
        </row>
      </sheetData>
      <sheetData sheetId="1048">
        <row r="1">
          <cell r="D1" t="str">
            <v>No BA Rekon:</v>
          </cell>
        </row>
      </sheetData>
      <sheetData sheetId="1049">
        <row r="1">
          <cell r="D1" t="str">
            <v>No BA Rekon:</v>
          </cell>
        </row>
      </sheetData>
      <sheetData sheetId="1050">
        <row r="1">
          <cell r="D1" t="str">
            <v>No BA Rekon:</v>
          </cell>
        </row>
      </sheetData>
      <sheetData sheetId="1051">
        <row r="1">
          <cell r="D1" t="str">
            <v>No BA Rekon:</v>
          </cell>
        </row>
      </sheetData>
      <sheetData sheetId="1052">
        <row r="1">
          <cell r="D1" t="str">
            <v>No BA Rekon:</v>
          </cell>
        </row>
      </sheetData>
      <sheetData sheetId="1053">
        <row r="1">
          <cell r="D1" t="str">
            <v>No BA Rekon:</v>
          </cell>
        </row>
      </sheetData>
      <sheetData sheetId="1054">
        <row r="1">
          <cell r="D1" t="str">
            <v>No BA Rekon:</v>
          </cell>
        </row>
      </sheetData>
      <sheetData sheetId="1055">
        <row r="1">
          <cell r="D1" t="str">
            <v>No BA Rekon:</v>
          </cell>
        </row>
      </sheetData>
      <sheetData sheetId="1056">
        <row r="1">
          <cell r="D1" t="str">
            <v>No BA Rekon:</v>
          </cell>
        </row>
      </sheetData>
      <sheetData sheetId="1057">
        <row r="1">
          <cell r="D1" t="str">
            <v>No BA Rekon:</v>
          </cell>
        </row>
      </sheetData>
      <sheetData sheetId="1058">
        <row r="1">
          <cell r="A1" t="str">
            <v>NO</v>
          </cell>
        </row>
      </sheetData>
      <sheetData sheetId="1059"/>
      <sheetData sheetId="1060">
        <row r="1">
          <cell r="D1" t="str">
            <v>No BA Rekon:</v>
          </cell>
        </row>
      </sheetData>
      <sheetData sheetId="1061">
        <row r="1">
          <cell r="A1" t="str">
            <v>Item Code</v>
          </cell>
        </row>
      </sheetData>
      <sheetData sheetId="1062">
        <row r="1">
          <cell r="A1" t="str">
            <v>Item Code</v>
          </cell>
        </row>
      </sheetData>
      <sheetData sheetId="1063">
        <row r="1">
          <cell r="A1" t="str">
            <v>Item Code</v>
          </cell>
        </row>
      </sheetData>
      <sheetData sheetId="1064"/>
      <sheetData sheetId="1065"/>
      <sheetData sheetId="1066">
        <row r="1">
          <cell r="D1" t="str">
            <v>No BA Rekon:</v>
          </cell>
        </row>
      </sheetData>
      <sheetData sheetId="1067">
        <row r="1">
          <cell r="D1" t="str">
            <v>No BA Rekon:</v>
          </cell>
        </row>
      </sheetData>
      <sheetData sheetId="1068">
        <row r="1">
          <cell r="D1" t="str">
            <v>No BA Rekon:</v>
          </cell>
        </row>
      </sheetData>
      <sheetData sheetId="1069"/>
      <sheetData sheetId="1070">
        <row r="1">
          <cell r="D1" t="str">
            <v>No BA Rekon:</v>
          </cell>
        </row>
      </sheetData>
      <sheetData sheetId="1071"/>
      <sheetData sheetId="1072">
        <row r="1">
          <cell r="D1" t="str">
            <v>No BA Rekon:</v>
          </cell>
        </row>
      </sheetData>
      <sheetData sheetId="1073"/>
      <sheetData sheetId="1074">
        <row r="1">
          <cell r="A1" t="str">
            <v>Item Code</v>
          </cell>
        </row>
      </sheetData>
      <sheetData sheetId="1075">
        <row r="1">
          <cell r="A1" t="str">
            <v>Item Code</v>
          </cell>
        </row>
      </sheetData>
      <sheetData sheetId="1076">
        <row r="1">
          <cell r="A1" t="str">
            <v>Item Code</v>
          </cell>
        </row>
      </sheetData>
      <sheetData sheetId="1077"/>
      <sheetData sheetId="1078"/>
      <sheetData sheetId="1079"/>
      <sheetData sheetId="1080">
        <row r="1">
          <cell r="A1" t="str">
            <v>MAP Listing Fees Propopsal 2019</v>
          </cell>
        </row>
      </sheetData>
      <sheetData sheetId="1081">
        <row r="1">
          <cell r="A1" t="str">
            <v>MAP Listing Fees Propopsal 2019</v>
          </cell>
        </row>
      </sheetData>
      <sheetData sheetId="1082">
        <row r="1">
          <cell r="A1" t="str">
            <v>MAP Listing Fees Propopsal 2019</v>
          </cell>
        </row>
      </sheetData>
      <sheetData sheetId="1083">
        <row r="1">
          <cell r="A1" t="str">
            <v>MAP Listing Fees Propopsal 2019</v>
          </cell>
        </row>
      </sheetData>
      <sheetData sheetId="1084">
        <row r="1">
          <cell r="A1" t="str">
            <v>Item Code</v>
          </cell>
        </row>
      </sheetData>
      <sheetData sheetId="1085">
        <row r="1">
          <cell r="A1" t="str">
            <v>Item Code</v>
          </cell>
        </row>
      </sheetData>
      <sheetData sheetId="1086">
        <row r="1">
          <cell r="A1" t="str">
            <v>Item Code</v>
          </cell>
        </row>
      </sheetData>
      <sheetData sheetId="1087">
        <row r="1">
          <cell r="A1" t="str">
            <v>Item Code</v>
          </cell>
        </row>
      </sheetData>
      <sheetData sheetId="1088">
        <row r="1">
          <cell r="A1" t="str">
            <v>Item Code</v>
          </cell>
        </row>
      </sheetData>
      <sheetData sheetId="1089">
        <row r="1">
          <cell r="A1" t="str">
            <v>Item Code</v>
          </cell>
        </row>
      </sheetData>
      <sheetData sheetId="1090">
        <row r="1">
          <cell r="A1" t="str">
            <v>Item Code</v>
          </cell>
        </row>
      </sheetData>
      <sheetData sheetId="1091">
        <row r="1">
          <cell r="D1" t="str">
            <v>No BA Rekon:</v>
          </cell>
        </row>
      </sheetData>
      <sheetData sheetId="1092">
        <row r="1">
          <cell r="A1" t="str">
            <v>Item Code</v>
          </cell>
        </row>
      </sheetData>
      <sheetData sheetId="1093">
        <row r="1">
          <cell r="A1" t="str">
            <v>Item Code</v>
          </cell>
        </row>
      </sheetData>
      <sheetData sheetId="1094">
        <row r="1">
          <cell r="A1" t="str">
            <v>Item Code</v>
          </cell>
        </row>
      </sheetData>
      <sheetData sheetId="1095">
        <row r="1">
          <cell r="A1" t="str">
            <v>Item Code</v>
          </cell>
        </row>
      </sheetData>
      <sheetData sheetId="1096">
        <row r="1">
          <cell r="A1" t="str">
            <v>Item Code</v>
          </cell>
        </row>
      </sheetData>
      <sheetData sheetId="1097">
        <row r="1">
          <cell r="A1" t="str">
            <v>Item Code</v>
          </cell>
        </row>
      </sheetData>
      <sheetData sheetId="1098">
        <row r="1">
          <cell r="D1" t="str">
            <v>No BA Rekon:</v>
          </cell>
        </row>
      </sheetData>
      <sheetData sheetId="1099">
        <row r="1">
          <cell r="A1" t="str">
            <v>Item Code</v>
          </cell>
        </row>
      </sheetData>
      <sheetData sheetId="1100">
        <row r="1">
          <cell r="A1" t="str">
            <v>Item Code</v>
          </cell>
        </row>
      </sheetData>
      <sheetData sheetId="1101">
        <row r="1">
          <cell r="A1" t="str">
            <v>Item Code</v>
          </cell>
        </row>
      </sheetData>
      <sheetData sheetId="1102">
        <row r="1">
          <cell r="A1" t="str">
            <v>Item Code</v>
          </cell>
        </row>
      </sheetData>
      <sheetData sheetId="1103">
        <row r="1">
          <cell r="A1" t="str">
            <v>Item Code</v>
          </cell>
        </row>
      </sheetData>
      <sheetData sheetId="1104">
        <row r="1">
          <cell r="A1" t="str">
            <v>Item Code</v>
          </cell>
        </row>
      </sheetData>
      <sheetData sheetId="1105">
        <row r="1">
          <cell r="A1" t="str">
            <v>Item Code</v>
          </cell>
        </row>
      </sheetData>
      <sheetData sheetId="1106">
        <row r="1">
          <cell r="A1" t="str">
            <v>Item Code</v>
          </cell>
        </row>
      </sheetData>
      <sheetData sheetId="1107">
        <row r="1">
          <cell r="A1" t="str">
            <v>Item Code</v>
          </cell>
        </row>
      </sheetData>
      <sheetData sheetId="1108">
        <row r="1">
          <cell r="A1" t="str">
            <v>Item Code</v>
          </cell>
        </row>
      </sheetData>
      <sheetData sheetId="1109">
        <row r="1">
          <cell r="A1" t="str">
            <v>Item Code</v>
          </cell>
        </row>
      </sheetData>
      <sheetData sheetId="1110">
        <row r="1">
          <cell r="A1" t="str">
            <v>Item Code</v>
          </cell>
        </row>
      </sheetData>
      <sheetData sheetId="1111">
        <row r="1">
          <cell r="A1" t="str">
            <v>Item Code</v>
          </cell>
        </row>
      </sheetData>
      <sheetData sheetId="1112">
        <row r="1">
          <cell r="A1" t="str">
            <v>Item Code</v>
          </cell>
        </row>
      </sheetData>
      <sheetData sheetId="1113">
        <row r="1">
          <cell r="A1" t="str">
            <v>Item Code</v>
          </cell>
        </row>
      </sheetData>
      <sheetData sheetId="1114">
        <row r="1">
          <cell r="A1" t="str">
            <v>Item Code</v>
          </cell>
        </row>
      </sheetData>
      <sheetData sheetId="1115">
        <row r="1">
          <cell r="A1" t="str">
            <v>Item Code</v>
          </cell>
        </row>
      </sheetData>
      <sheetData sheetId="1116">
        <row r="1">
          <cell r="A1" t="str">
            <v>Item Code</v>
          </cell>
        </row>
      </sheetData>
      <sheetData sheetId="1117">
        <row r="1">
          <cell r="A1" t="str">
            <v>Item Code</v>
          </cell>
        </row>
      </sheetData>
      <sheetData sheetId="1118">
        <row r="1">
          <cell r="A1" t="str">
            <v>Item Code</v>
          </cell>
        </row>
      </sheetData>
      <sheetData sheetId="1119">
        <row r="1">
          <cell r="A1" t="str">
            <v>Item Code</v>
          </cell>
        </row>
      </sheetData>
      <sheetData sheetId="1120">
        <row r="1">
          <cell r="A1" t="str">
            <v>Item Code</v>
          </cell>
        </row>
      </sheetData>
      <sheetData sheetId="1121">
        <row r="1">
          <cell r="A1" t="str">
            <v>Item Code</v>
          </cell>
        </row>
      </sheetData>
      <sheetData sheetId="1122">
        <row r="1">
          <cell r="A1" t="str">
            <v>Item Code</v>
          </cell>
        </row>
      </sheetData>
      <sheetData sheetId="1123">
        <row r="1">
          <cell r="A1" t="str">
            <v>Item Code</v>
          </cell>
        </row>
      </sheetData>
      <sheetData sheetId="1124">
        <row r="1">
          <cell r="A1" t="str">
            <v>Item Code</v>
          </cell>
        </row>
      </sheetData>
      <sheetData sheetId="1125">
        <row r="1">
          <cell r="A1" t="str">
            <v>Item Code</v>
          </cell>
        </row>
      </sheetData>
      <sheetData sheetId="1126">
        <row r="1">
          <cell r="A1" t="str">
            <v>Item Code</v>
          </cell>
        </row>
      </sheetData>
      <sheetData sheetId="1127">
        <row r="1">
          <cell r="A1" t="str">
            <v>MAP Listing Fees Propopsal 2019</v>
          </cell>
        </row>
      </sheetData>
      <sheetData sheetId="1128">
        <row r="1">
          <cell r="A1" t="str">
            <v>Item Code</v>
          </cell>
        </row>
      </sheetData>
      <sheetData sheetId="1129">
        <row r="1">
          <cell r="A1" t="str">
            <v>Item Code</v>
          </cell>
        </row>
      </sheetData>
      <sheetData sheetId="1130">
        <row r="1">
          <cell r="A1" t="str">
            <v>Item Code</v>
          </cell>
        </row>
      </sheetData>
      <sheetData sheetId="1131">
        <row r="1">
          <cell r="A1" t="str">
            <v>Item Code</v>
          </cell>
        </row>
      </sheetData>
      <sheetData sheetId="1132">
        <row r="1">
          <cell r="A1" t="str">
            <v>Item Code</v>
          </cell>
        </row>
      </sheetData>
      <sheetData sheetId="1133">
        <row r="1">
          <cell r="A1" t="str">
            <v>Item Code</v>
          </cell>
        </row>
      </sheetData>
      <sheetData sheetId="1134">
        <row r="1">
          <cell r="A1" t="str">
            <v>Item Code</v>
          </cell>
        </row>
      </sheetData>
      <sheetData sheetId="1135">
        <row r="1">
          <cell r="A1" t="str">
            <v>Item Code</v>
          </cell>
        </row>
      </sheetData>
      <sheetData sheetId="1136">
        <row r="1">
          <cell r="A1" t="str">
            <v>Item Code</v>
          </cell>
        </row>
      </sheetData>
      <sheetData sheetId="1137">
        <row r="1">
          <cell r="A1" t="str">
            <v>Item Code</v>
          </cell>
        </row>
      </sheetData>
      <sheetData sheetId="1138">
        <row r="1">
          <cell r="A1" t="str">
            <v>Item Code</v>
          </cell>
        </row>
      </sheetData>
      <sheetData sheetId="1139">
        <row r="1">
          <cell r="A1" t="str">
            <v>Item Code</v>
          </cell>
        </row>
      </sheetData>
      <sheetData sheetId="1140">
        <row r="1">
          <cell r="A1" t="str">
            <v>Item Code</v>
          </cell>
        </row>
      </sheetData>
      <sheetData sheetId="1141">
        <row r="1">
          <cell r="A1" t="str">
            <v>Item Code</v>
          </cell>
        </row>
      </sheetData>
      <sheetData sheetId="1142">
        <row r="1">
          <cell r="A1" t="str">
            <v>Item Code</v>
          </cell>
        </row>
      </sheetData>
      <sheetData sheetId="1143">
        <row r="1">
          <cell r="A1" t="str">
            <v>Item Code</v>
          </cell>
        </row>
      </sheetData>
      <sheetData sheetId="1144">
        <row r="1">
          <cell r="A1" t="str">
            <v>Item Code</v>
          </cell>
        </row>
      </sheetData>
      <sheetData sheetId="1145">
        <row r="1">
          <cell r="A1" t="str">
            <v>Item Code</v>
          </cell>
        </row>
      </sheetData>
      <sheetData sheetId="1146">
        <row r="1">
          <cell r="A1" t="str">
            <v>Item Code</v>
          </cell>
        </row>
      </sheetData>
      <sheetData sheetId="1147">
        <row r="1">
          <cell r="A1" t="str">
            <v>Item Code</v>
          </cell>
        </row>
      </sheetData>
      <sheetData sheetId="1148">
        <row r="1">
          <cell r="A1" t="str">
            <v>Item Code</v>
          </cell>
        </row>
      </sheetData>
      <sheetData sheetId="1149">
        <row r="1">
          <cell r="A1" t="str">
            <v>Item Code</v>
          </cell>
        </row>
      </sheetData>
      <sheetData sheetId="1150">
        <row r="1">
          <cell r="A1" t="str">
            <v>Item Code</v>
          </cell>
        </row>
      </sheetData>
      <sheetData sheetId="1151">
        <row r="1">
          <cell r="A1" t="str">
            <v>Item Code</v>
          </cell>
        </row>
      </sheetData>
      <sheetData sheetId="1152">
        <row r="1">
          <cell r="A1" t="str">
            <v>Item Code</v>
          </cell>
        </row>
      </sheetData>
      <sheetData sheetId="1153">
        <row r="1">
          <cell r="A1" t="str">
            <v>Item Code</v>
          </cell>
        </row>
      </sheetData>
      <sheetData sheetId="1154">
        <row r="1">
          <cell r="A1" t="str">
            <v>Item Code</v>
          </cell>
        </row>
      </sheetData>
      <sheetData sheetId="1155">
        <row r="1">
          <cell r="A1" t="str">
            <v>Item Code</v>
          </cell>
        </row>
      </sheetData>
      <sheetData sheetId="1156">
        <row r="1">
          <cell r="A1" t="str">
            <v>Item Code</v>
          </cell>
        </row>
      </sheetData>
      <sheetData sheetId="1157">
        <row r="1">
          <cell r="A1" t="str">
            <v>Item Code</v>
          </cell>
        </row>
      </sheetData>
      <sheetData sheetId="1158">
        <row r="1">
          <cell r="A1" t="str">
            <v>Item Code</v>
          </cell>
        </row>
      </sheetData>
      <sheetData sheetId="1159">
        <row r="1">
          <cell r="A1" t="str">
            <v>Item Code</v>
          </cell>
        </row>
      </sheetData>
      <sheetData sheetId="1160">
        <row r="1">
          <cell r="A1" t="str">
            <v>Item Code</v>
          </cell>
        </row>
      </sheetData>
      <sheetData sheetId="1161">
        <row r="1">
          <cell r="A1" t="str">
            <v>Item Code</v>
          </cell>
        </row>
      </sheetData>
      <sheetData sheetId="1162">
        <row r="1">
          <cell r="A1" t="str">
            <v>Item Code</v>
          </cell>
        </row>
      </sheetData>
      <sheetData sheetId="1163">
        <row r="1">
          <cell r="A1" t="str">
            <v>Item Code</v>
          </cell>
        </row>
      </sheetData>
      <sheetData sheetId="1164">
        <row r="1">
          <cell r="A1" t="str">
            <v>Item Code</v>
          </cell>
        </row>
      </sheetData>
      <sheetData sheetId="1165">
        <row r="1">
          <cell r="A1" t="str">
            <v>Item Code</v>
          </cell>
        </row>
      </sheetData>
      <sheetData sheetId="1166">
        <row r="1">
          <cell r="A1" t="str">
            <v>Item Code</v>
          </cell>
        </row>
      </sheetData>
      <sheetData sheetId="1167">
        <row r="1">
          <cell r="A1" t="str">
            <v>Item Code</v>
          </cell>
        </row>
      </sheetData>
      <sheetData sheetId="1168">
        <row r="1">
          <cell r="A1" t="str">
            <v>Item Code</v>
          </cell>
        </row>
      </sheetData>
      <sheetData sheetId="1169">
        <row r="1">
          <cell r="A1" t="str">
            <v>Item Code</v>
          </cell>
        </row>
      </sheetData>
      <sheetData sheetId="1170">
        <row r="1">
          <cell r="A1" t="str">
            <v>Item Code</v>
          </cell>
        </row>
      </sheetData>
      <sheetData sheetId="1171">
        <row r="1">
          <cell r="A1" t="str">
            <v>Item Code</v>
          </cell>
        </row>
      </sheetData>
      <sheetData sheetId="1172">
        <row r="1">
          <cell r="A1" t="str">
            <v>Item Code</v>
          </cell>
        </row>
      </sheetData>
      <sheetData sheetId="1173">
        <row r="1">
          <cell r="A1" t="str">
            <v>Item Code</v>
          </cell>
        </row>
      </sheetData>
      <sheetData sheetId="1174">
        <row r="1">
          <cell r="A1" t="str">
            <v>Item Code</v>
          </cell>
        </row>
      </sheetData>
      <sheetData sheetId="1175">
        <row r="1">
          <cell r="A1" t="str">
            <v>Item Code</v>
          </cell>
        </row>
      </sheetData>
      <sheetData sheetId="1176">
        <row r="1">
          <cell r="A1" t="str">
            <v>Item Code</v>
          </cell>
        </row>
      </sheetData>
      <sheetData sheetId="1177">
        <row r="1">
          <cell r="A1" t="str">
            <v>Item Code</v>
          </cell>
        </row>
      </sheetData>
      <sheetData sheetId="1178">
        <row r="1">
          <cell r="A1" t="str">
            <v>Item Code</v>
          </cell>
        </row>
      </sheetData>
      <sheetData sheetId="1179">
        <row r="1">
          <cell r="A1" t="str">
            <v>Item Code</v>
          </cell>
        </row>
      </sheetData>
      <sheetData sheetId="1180">
        <row r="1">
          <cell r="A1" t="str">
            <v>Item Code</v>
          </cell>
        </row>
      </sheetData>
      <sheetData sheetId="1181">
        <row r="1">
          <cell r="A1" t="str">
            <v>Item Code</v>
          </cell>
        </row>
      </sheetData>
      <sheetData sheetId="1182">
        <row r="1">
          <cell r="A1" t="str">
            <v>Item Code</v>
          </cell>
        </row>
      </sheetData>
      <sheetData sheetId="1183">
        <row r="1">
          <cell r="A1" t="str">
            <v>Item Code</v>
          </cell>
        </row>
      </sheetData>
      <sheetData sheetId="1184">
        <row r="1">
          <cell r="A1" t="str">
            <v>Item Code</v>
          </cell>
        </row>
      </sheetData>
      <sheetData sheetId="1185">
        <row r="1">
          <cell r="A1" t="str">
            <v>Item Code</v>
          </cell>
        </row>
      </sheetData>
      <sheetData sheetId="1186">
        <row r="1">
          <cell r="A1" t="str">
            <v>Item Code</v>
          </cell>
        </row>
      </sheetData>
      <sheetData sheetId="1187">
        <row r="1">
          <cell r="A1" t="str">
            <v>Item Code</v>
          </cell>
        </row>
      </sheetData>
      <sheetData sheetId="1188">
        <row r="1">
          <cell r="A1" t="str">
            <v>Item Code</v>
          </cell>
        </row>
      </sheetData>
      <sheetData sheetId="1189">
        <row r="1">
          <cell r="A1" t="str">
            <v>Item Code</v>
          </cell>
        </row>
      </sheetData>
      <sheetData sheetId="1190">
        <row r="1">
          <cell r="D1" t="str">
            <v>No BA Rekon:</v>
          </cell>
        </row>
      </sheetData>
      <sheetData sheetId="1191">
        <row r="1">
          <cell r="A1" t="str">
            <v>Item Code</v>
          </cell>
        </row>
      </sheetData>
      <sheetData sheetId="1192">
        <row r="1">
          <cell r="A1" t="str">
            <v>Item Code</v>
          </cell>
        </row>
      </sheetData>
      <sheetData sheetId="1193">
        <row r="1">
          <cell r="A1" t="str">
            <v>Item Code</v>
          </cell>
        </row>
      </sheetData>
      <sheetData sheetId="1194">
        <row r="1">
          <cell r="A1" t="str">
            <v>Item Code</v>
          </cell>
        </row>
      </sheetData>
      <sheetData sheetId="1195">
        <row r="1">
          <cell r="A1" t="str">
            <v>Item Code</v>
          </cell>
        </row>
      </sheetData>
      <sheetData sheetId="1196">
        <row r="1">
          <cell r="A1" t="str">
            <v>Item Code</v>
          </cell>
        </row>
      </sheetData>
      <sheetData sheetId="1197">
        <row r="1">
          <cell r="A1" t="str">
            <v>Item Code</v>
          </cell>
        </row>
      </sheetData>
      <sheetData sheetId="1198">
        <row r="1">
          <cell r="A1" t="str">
            <v>Item Code</v>
          </cell>
        </row>
      </sheetData>
      <sheetData sheetId="1199">
        <row r="1">
          <cell r="A1" t="str">
            <v>Item Code</v>
          </cell>
        </row>
      </sheetData>
      <sheetData sheetId="1200">
        <row r="1">
          <cell r="A1" t="str">
            <v>Item Code</v>
          </cell>
        </row>
      </sheetData>
      <sheetData sheetId="1201">
        <row r="1">
          <cell r="A1" t="str">
            <v>Item Code</v>
          </cell>
        </row>
      </sheetData>
      <sheetData sheetId="1202">
        <row r="1">
          <cell r="A1" t="str">
            <v>Item Code</v>
          </cell>
        </row>
      </sheetData>
      <sheetData sheetId="1203">
        <row r="1">
          <cell r="A1" t="str">
            <v>Item Code</v>
          </cell>
        </row>
      </sheetData>
      <sheetData sheetId="1204">
        <row r="1">
          <cell r="A1" t="str">
            <v>Item Code</v>
          </cell>
        </row>
      </sheetData>
      <sheetData sheetId="1205">
        <row r="1">
          <cell r="A1" t="str">
            <v>Item Code</v>
          </cell>
        </row>
      </sheetData>
      <sheetData sheetId="1206">
        <row r="1">
          <cell r="A1" t="str">
            <v>Item Code</v>
          </cell>
        </row>
      </sheetData>
      <sheetData sheetId="1207">
        <row r="1">
          <cell r="A1" t="str">
            <v>Item Code</v>
          </cell>
        </row>
      </sheetData>
      <sheetData sheetId="1208">
        <row r="1">
          <cell r="A1" t="str">
            <v>Item Code</v>
          </cell>
        </row>
      </sheetData>
      <sheetData sheetId="1209">
        <row r="1">
          <cell r="A1" t="str">
            <v>Item Code</v>
          </cell>
        </row>
      </sheetData>
      <sheetData sheetId="1210">
        <row r="1">
          <cell r="A1" t="str">
            <v>Item Code</v>
          </cell>
        </row>
      </sheetData>
      <sheetData sheetId="1211">
        <row r="1">
          <cell r="A1" t="str">
            <v>Item Code</v>
          </cell>
        </row>
      </sheetData>
      <sheetData sheetId="1212">
        <row r="1">
          <cell r="A1" t="str">
            <v>Item Code</v>
          </cell>
        </row>
      </sheetData>
      <sheetData sheetId="1213">
        <row r="1">
          <cell r="A1" t="str">
            <v>Item Code</v>
          </cell>
        </row>
      </sheetData>
      <sheetData sheetId="1214">
        <row r="1">
          <cell r="A1" t="str">
            <v>Item Code</v>
          </cell>
        </row>
      </sheetData>
      <sheetData sheetId="1215">
        <row r="1">
          <cell r="A1" t="str">
            <v>Item Code</v>
          </cell>
        </row>
      </sheetData>
      <sheetData sheetId="1216">
        <row r="1">
          <cell r="A1" t="str">
            <v>Item Code</v>
          </cell>
        </row>
      </sheetData>
      <sheetData sheetId="1217">
        <row r="1">
          <cell r="A1" t="str">
            <v>Item Code</v>
          </cell>
        </row>
      </sheetData>
      <sheetData sheetId="1218">
        <row r="1">
          <cell r="A1" t="str">
            <v>Item Code</v>
          </cell>
        </row>
      </sheetData>
      <sheetData sheetId="1219">
        <row r="1">
          <cell r="A1" t="str">
            <v>Item Code</v>
          </cell>
        </row>
      </sheetData>
      <sheetData sheetId="1220">
        <row r="1">
          <cell r="A1" t="str">
            <v>Item Code</v>
          </cell>
        </row>
      </sheetData>
      <sheetData sheetId="1221">
        <row r="1">
          <cell r="A1" t="str">
            <v>Item Code</v>
          </cell>
        </row>
      </sheetData>
      <sheetData sheetId="1222"/>
      <sheetData sheetId="1223">
        <row r="1">
          <cell r="A1" t="str">
            <v>Item Code</v>
          </cell>
        </row>
      </sheetData>
      <sheetData sheetId="1224">
        <row r="1">
          <cell r="A1" t="str">
            <v>Item Code</v>
          </cell>
        </row>
      </sheetData>
      <sheetData sheetId="1225">
        <row r="1">
          <cell r="A1" t="str">
            <v>Item Code</v>
          </cell>
        </row>
      </sheetData>
      <sheetData sheetId="1226">
        <row r="1">
          <cell r="A1" t="str">
            <v>Item Code</v>
          </cell>
        </row>
      </sheetData>
      <sheetData sheetId="1227"/>
      <sheetData sheetId="1228"/>
      <sheetData sheetId="1229"/>
      <sheetData sheetId="1230"/>
      <sheetData sheetId="1231"/>
      <sheetData sheetId="1232"/>
      <sheetData sheetId="1233"/>
      <sheetData sheetId="1234">
        <row r="1">
          <cell r="D1" t="str">
            <v>No BA Rekon:</v>
          </cell>
        </row>
      </sheetData>
      <sheetData sheetId="1235">
        <row r="1">
          <cell r="D1" t="str">
            <v>No BA Rekon:</v>
          </cell>
        </row>
      </sheetData>
      <sheetData sheetId="1236">
        <row r="1">
          <cell r="D1" t="str">
            <v>No BA Rekon:</v>
          </cell>
        </row>
      </sheetData>
      <sheetData sheetId="1237">
        <row r="1">
          <cell r="D1" t="str">
            <v>No BA Rekon:</v>
          </cell>
        </row>
      </sheetData>
      <sheetData sheetId="1238">
        <row r="1">
          <cell r="D1" t="str">
            <v>No BA Rekon:</v>
          </cell>
        </row>
      </sheetData>
      <sheetData sheetId="1239">
        <row r="1">
          <cell r="D1" t="str">
            <v>No BA Rekon:</v>
          </cell>
        </row>
      </sheetData>
      <sheetData sheetId="1240">
        <row r="1">
          <cell r="D1" t="str">
            <v>No BA Rekon:</v>
          </cell>
        </row>
      </sheetData>
      <sheetData sheetId="1241">
        <row r="1">
          <cell r="D1" t="str">
            <v>No BA Rekon:</v>
          </cell>
        </row>
      </sheetData>
      <sheetData sheetId="1242">
        <row r="1">
          <cell r="D1" t="str">
            <v>No BA Rekon:</v>
          </cell>
        </row>
      </sheetData>
      <sheetData sheetId="1243">
        <row r="1">
          <cell r="D1" t="str">
            <v>No BA Rekon:</v>
          </cell>
        </row>
      </sheetData>
      <sheetData sheetId="1244">
        <row r="1">
          <cell r="D1" t="str">
            <v>No BA Rekon:</v>
          </cell>
        </row>
      </sheetData>
      <sheetData sheetId="1245">
        <row r="1">
          <cell r="D1" t="str">
            <v>No BA Rekon:</v>
          </cell>
        </row>
      </sheetData>
      <sheetData sheetId="1246"/>
      <sheetData sheetId="1247"/>
      <sheetData sheetId="1248"/>
      <sheetData sheetId="1249">
        <row r="1">
          <cell r="A1" t="str">
            <v>Item Code</v>
          </cell>
        </row>
      </sheetData>
      <sheetData sheetId="1250"/>
      <sheetData sheetId="1251">
        <row r="1">
          <cell r="A1" t="str">
            <v>Item Code</v>
          </cell>
        </row>
      </sheetData>
      <sheetData sheetId="1252">
        <row r="1">
          <cell r="D1" t="str">
            <v>No BA Rekon:</v>
          </cell>
        </row>
      </sheetData>
      <sheetData sheetId="1253">
        <row r="1">
          <cell r="A1" t="str">
            <v>Item Code</v>
          </cell>
        </row>
      </sheetData>
      <sheetData sheetId="1254">
        <row r="1">
          <cell r="A1" t="str">
            <v>Item Code</v>
          </cell>
        </row>
      </sheetData>
      <sheetData sheetId="1255">
        <row r="1">
          <cell r="A1" t="str">
            <v>Item Code</v>
          </cell>
        </row>
      </sheetData>
      <sheetData sheetId="1256">
        <row r="3">
          <cell r="B3" t="str">
            <v>NPV (000 USD)</v>
          </cell>
        </row>
      </sheetData>
      <sheetData sheetId="1257"/>
      <sheetData sheetId="1258"/>
      <sheetData sheetId="1259">
        <row r="1">
          <cell r="D1" t="str">
            <v>No BA Rekon:</v>
          </cell>
        </row>
      </sheetData>
      <sheetData sheetId="1260">
        <row r="1">
          <cell r="D1" t="str">
            <v>No BA Rekon:</v>
          </cell>
        </row>
      </sheetData>
      <sheetData sheetId="1261">
        <row r="1">
          <cell r="D1" t="str">
            <v>No BA Rekon:</v>
          </cell>
        </row>
      </sheetData>
      <sheetData sheetId="1262">
        <row r="1">
          <cell r="D1" t="str">
            <v>No BA Rekon:</v>
          </cell>
        </row>
      </sheetData>
      <sheetData sheetId="1263">
        <row r="1">
          <cell r="D1" t="str">
            <v>No BA Rekon:</v>
          </cell>
        </row>
      </sheetData>
      <sheetData sheetId="1264">
        <row r="1">
          <cell r="D1" t="str">
            <v>No BA Rekon: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1">
          <cell r="D1" t="str">
            <v>No BA Rekon:</v>
          </cell>
        </row>
      </sheetData>
      <sheetData sheetId="1273">
        <row r="1">
          <cell r="D1" t="str">
            <v>No BA Rekon:</v>
          </cell>
        </row>
      </sheetData>
      <sheetData sheetId="1274">
        <row r="1">
          <cell r="D1" t="str">
            <v>No BA Rekon:</v>
          </cell>
        </row>
      </sheetData>
      <sheetData sheetId="1275">
        <row r="1">
          <cell r="D1" t="str">
            <v>No BA Rekon:</v>
          </cell>
        </row>
      </sheetData>
      <sheetData sheetId="1276">
        <row r="1">
          <cell r="D1" t="str">
            <v>No BA Rekon:</v>
          </cell>
        </row>
      </sheetData>
      <sheetData sheetId="1277">
        <row r="1">
          <cell r="D1" t="str">
            <v>No BA Rekon:</v>
          </cell>
        </row>
      </sheetData>
      <sheetData sheetId="1278">
        <row r="1">
          <cell r="D1" t="str">
            <v>No BA Rekon:</v>
          </cell>
        </row>
      </sheetData>
      <sheetData sheetId="1279">
        <row r="1">
          <cell r="D1" t="str">
            <v>No BA Rekon:</v>
          </cell>
        </row>
      </sheetData>
      <sheetData sheetId="1280">
        <row r="1">
          <cell r="A1" t="str">
            <v>MAP Listing Fees Propopsal 2019</v>
          </cell>
        </row>
      </sheetData>
      <sheetData sheetId="1281">
        <row r="1">
          <cell r="D1" t="str">
            <v>No BA Rekon:</v>
          </cell>
        </row>
      </sheetData>
      <sheetData sheetId="1282"/>
      <sheetData sheetId="1283"/>
      <sheetData sheetId="1284">
        <row r="1">
          <cell r="A1" t="str">
            <v>NO</v>
          </cell>
        </row>
      </sheetData>
      <sheetData sheetId="1285"/>
      <sheetData sheetId="1286">
        <row r="18">
          <cell r="N18" t="str">
            <v>ENGINEERING</v>
          </cell>
        </row>
      </sheetData>
      <sheetData sheetId="1287"/>
      <sheetData sheetId="1288"/>
      <sheetData sheetId="1289"/>
      <sheetData sheetId="1290"/>
      <sheetData sheetId="1291">
        <row r="1">
          <cell r="A1" t="str">
            <v>Item Code</v>
          </cell>
        </row>
      </sheetData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>
        <row r="1">
          <cell r="A1" t="str">
            <v>Item Code</v>
          </cell>
        </row>
      </sheetData>
      <sheetData sheetId="1308">
        <row r="1">
          <cell r="A1" t="str">
            <v>Item Code</v>
          </cell>
        </row>
      </sheetData>
      <sheetData sheetId="1309">
        <row r="1">
          <cell r="A1" t="str">
            <v>Item Code</v>
          </cell>
        </row>
      </sheetData>
      <sheetData sheetId="1310">
        <row r="1">
          <cell r="A1" t="str">
            <v>Item Code</v>
          </cell>
        </row>
      </sheetData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>
        <row r="1">
          <cell r="D1" t="str">
            <v>No BA Rekon:</v>
          </cell>
        </row>
      </sheetData>
      <sheetData sheetId="1325">
        <row r="1">
          <cell r="A1" t="str">
            <v>NO</v>
          </cell>
        </row>
      </sheetData>
      <sheetData sheetId="1326">
        <row r="1">
          <cell r="D1" t="str">
            <v>No BA Rekon:</v>
          </cell>
        </row>
      </sheetData>
      <sheetData sheetId="1327">
        <row r="1">
          <cell r="D1" t="str">
            <v>No BA Rekon:</v>
          </cell>
        </row>
      </sheetData>
      <sheetData sheetId="1328">
        <row r="1">
          <cell r="D1" t="str">
            <v>No BA Rekon:</v>
          </cell>
        </row>
      </sheetData>
      <sheetData sheetId="1329">
        <row r="1">
          <cell r="D1" t="str">
            <v>No BA Rekon:</v>
          </cell>
        </row>
      </sheetData>
      <sheetData sheetId="1330">
        <row r="1">
          <cell r="D1" t="str">
            <v>No BA Rekon:</v>
          </cell>
        </row>
      </sheetData>
      <sheetData sheetId="1331">
        <row r="1">
          <cell r="D1" t="str">
            <v>No BA Rekon:</v>
          </cell>
        </row>
      </sheetData>
      <sheetData sheetId="1332">
        <row r="1">
          <cell r="D1" t="str">
            <v>No BA Rekon:</v>
          </cell>
        </row>
      </sheetData>
      <sheetData sheetId="1333">
        <row r="1">
          <cell r="A1" t="str">
            <v>Item Code</v>
          </cell>
        </row>
      </sheetData>
      <sheetData sheetId="1334">
        <row r="1">
          <cell r="D1" t="str">
            <v>No BA Rekon:</v>
          </cell>
        </row>
      </sheetData>
      <sheetData sheetId="1335">
        <row r="1">
          <cell r="D1" t="str">
            <v>No BA Rekon:</v>
          </cell>
        </row>
      </sheetData>
      <sheetData sheetId="1336">
        <row r="1">
          <cell r="D1" t="str">
            <v>No BA Rekon:</v>
          </cell>
        </row>
      </sheetData>
      <sheetData sheetId="1337">
        <row r="1">
          <cell r="D1" t="str">
            <v>No BA Rekon:</v>
          </cell>
        </row>
      </sheetData>
      <sheetData sheetId="1338">
        <row r="1">
          <cell r="D1" t="str">
            <v>No BA Rekon:</v>
          </cell>
        </row>
      </sheetData>
      <sheetData sheetId="1339">
        <row r="1">
          <cell r="D1" t="str">
            <v>No BA Rekon:</v>
          </cell>
        </row>
      </sheetData>
      <sheetData sheetId="1340">
        <row r="1">
          <cell r="D1" t="str">
            <v>No BA Rekon:</v>
          </cell>
        </row>
      </sheetData>
      <sheetData sheetId="1341">
        <row r="1">
          <cell r="D1" t="str">
            <v>No BA Rekon:</v>
          </cell>
        </row>
      </sheetData>
      <sheetData sheetId="1342">
        <row r="1">
          <cell r="D1" t="str">
            <v>No BA Rekon:</v>
          </cell>
        </row>
      </sheetData>
      <sheetData sheetId="1343">
        <row r="1">
          <cell r="D1" t="str">
            <v>No BA Rekon:</v>
          </cell>
        </row>
      </sheetData>
      <sheetData sheetId="1344">
        <row r="1">
          <cell r="D1" t="str">
            <v>No BA Rekon:</v>
          </cell>
        </row>
      </sheetData>
      <sheetData sheetId="1345">
        <row r="1">
          <cell r="D1" t="str">
            <v>No BA Rekon:</v>
          </cell>
        </row>
      </sheetData>
      <sheetData sheetId="1346">
        <row r="1">
          <cell r="D1" t="str">
            <v>No BA Rekon:</v>
          </cell>
        </row>
      </sheetData>
      <sheetData sheetId="1347">
        <row r="1">
          <cell r="D1" t="str">
            <v>No BA Rekon:</v>
          </cell>
        </row>
      </sheetData>
      <sheetData sheetId="1348">
        <row r="1">
          <cell r="D1" t="str">
            <v>No BA Rekon:</v>
          </cell>
        </row>
      </sheetData>
      <sheetData sheetId="1349">
        <row r="1">
          <cell r="D1" t="str">
            <v>No BA Rekon:</v>
          </cell>
        </row>
      </sheetData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>
        <row r="1">
          <cell r="D1" t="str">
            <v>No BA Rekon:</v>
          </cell>
        </row>
      </sheetData>
      <sheetData sheetId="1364"/>
      <sheetData sheetId="1365"/>
      <sheetData sheetId="1366">
        <row r="1">
          <cell r="D1" t="str">
            <v>No BA Rekon:</v>
          </cell>
        </row>
      </sheetData>
      <sheetData sheetId="1367">
        <row r="1">
          <cell r="D1" t="str">
            <v>No BA Rekon:</v>
          </cell>
        </row>
      </sheetData>
      <sheetData sheetId="1368">
        <row r="1">
          <cell r="D1" t="str">
            <v>No BA Rekon:</v>
          </cell>
        </row>
      </sheetData>
      <sheetData sheetId="1369">
        <row r="1">
          <cell r="D1" t="str">
            <v>No BA Rekon:</v>
          </cell>
        </row>
      </sheetData>
      <sheetData sheetId="1370">
        <row r="1">
          <cell r="D1" t="str">
            <v>No BA Rekon:</v>
          </cell>
        </row>
      </sheetData>
      <sheetData sheetId="1371">
        <row r="1">
          <cell r="D1" t="str">
            <v>No BA Rekon:</v>
          </cell>
        </row>
      </sheetData>
      <sheetData sheetId="1372">
        <row r="1">
          <cell r="D1" t="str">
            <v>No BA Rekon:</v>
          </cell>
        </row>
      </sheetData>
      <sheetData sheetId="1373">
        <row r="1">
          <cell r="D1" t="str">
            <v>No BA Rekon:</v>
          </cell>
        </row>
      </sheetData>
      <sheetData sheetId="1374">
        <row r="1">
          <cell r="D1" t="str">
            <v>No BA Rekon:</v>
          </cell>
        </row>
      </sheetData>
      <sheetData sheetId="1375">
        <row r="1">
          <cell r="D1" t="str">
            <v>No BA Rekon:</v>
          </cell>
        </row>
      </sheetData>
      <sheetData sheetId="1376">
        <row r="1">
          <cell r="D1" t="str">
            <v>No BA Rekon:</v>
          </cell>
        </row>
      </sheetData>
      <sheetData sheetId="1377">
        <row r="1">
          <cell r="D1" t="str">
            <v>No BA Rekon:</v>
          </cell>
        </row>
      </sheetData>
      <sheetData sheetId="1378">
        <row r="1">
          <cell r="D1" t="str">
            <v>No BA Rekon:</v>
          </cell>
        </row>
      </sheetData>
      <sheetData sheetId="1379"/>
      <sheetData sheetId="1380">
        <row r="1">
          <cell r="D1" t="str">
            <v>No BA Rekon:</v>
          </cell>
        </row>
      </sheetData>
      <sheetData sheetId="1381">
        <row r="1">
          <cell r="D1" t="str">
            <v>No BA Rekon:</v>
          </cell>
        </row>
      </sheetData>
      <sheetData sheetId="1382">
        <row r="1">
          <cell r="A1" t="str">
            <v>Item Code</v>
          </cell>
        </row>
      </sheetData>
      <sheetData sheetId="1383">
        <row r="1">
          <cell r="D1" t="str">
            <v>No BA Rekon:</v>
          </cell>
        </row>
      </sheetData>
      <sheetData sheetId="1384"/>
      <sheetData sheetId="1385"/>
      <sheetData sheetId="1386"/>
      <sheetData sheetId="1387"/>
      <sheetData sheetId="1388"/>
      <sheetData sheetId="1389"/>
      <sheetData sheetId="1390">
        <row r="1">
          <cell r="D1" t="str">
            <v>No BA Rekon:</v>
          </cell>
        </row>
      </sheetData>
      <sheetData sheetId="1391">
        <row r="1">
          <cell r="A1" t="str">
            <v>Item Code</v>
          </cell>
        </row>
      </sheetData>
      <sheetData sheetId="1392">
        <row r="1">
          <cell r="D1" t="str">
            <v>No BA Rekon:</v>
          </cell>
        </row>
      </sheetData>
      <sheetData sheetId="1393"/>
      <sheetData sheetId="1394">
        <row r="1">
          <cell r="D1" t="str">
            <v>No BA Rekon:</v>
          </cell>
        </row>
      </sheetData>
      <sheetData sheetId="1395"/>
      <sheetData sheetId="1396">
        <row r="1">
          <cell r="D1" t="str">
            <v>No BA Rekon: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D1" t="str">
            <v>No BA Rekon:</v>
          </cell>
        </row>
      </sheetData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>
        <row r="1">
          <cell r="A1" t="str">
            <v>Item Code</v>
          </cell>
        </row>
      </sheetData>
      <sheetData sheetId="1450">
        <row r="1">
          <cell r="A1" t="str">
            <v>Item Code</v>
          </cell>
        </row>
      </sheetData>
      <sheetData sheetId="1451">
        <row r="1">
          <cell r="A1" t="str">
            <v>Item Code</v>
          </cell>
        </row>
      </sheetData>
      <sheetData sheetId="1452">
        <row r="1">
          <cell r="A1" t="str">
            <v>Item Code</v>
          </cell>
        </row>
      </sheetData>
      <sheetData sheetId="1453">
        <row r="1">
          <cell r="A1" t="str">
            <v>Item Code</v>
          </cell>
        </row>
      </sheetData>
      <sheetData sheetId="1454">
        <row r="1">
          <cell r="A1" t="str">
            <v>Item Code</v>
          </cell>
        </row>
      </sheetData>
      <sheetData sheetId="1455">
        <row r="1">
          <cell r="A1" t="str">
            <v>Item Code</v>
          </cell>
        </row>
      </sheetData>
      <sheetData sheetId="1456">
        <row r="1">
          <cell r="A1" t="str">
            <v>Item Code</v>
          </cell>
        </row>
      </sheetData>
      <sheetData sheetId="1457">
        <row r="1">
          <cell r="A1" t="str">
            <v>Item Code</v>
          </cell>
        </row>
      </sheetData>
      <sheetData sheetId="1458">
        <row r="1">
          <cell r="A1" t="str">
            <v>Item Code</v>
          </cell>
        </row>
      </sheetData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>
        <row r="1">
          <cell r="A1" t="str">
            <v>NO</v>
          </cell>
        </row>
      </sheetData>
      <sheetData sheetId="1547">
        <row r="1">
          <cell r="D1" t="str">
            <v>No BA Rekon:</v>
          </cell>
        </row>
      </sheetData>
      <sheetData sheetId="1548">
        <row r="1">
          <cell r="A1" t="str">
            <v>Department</v>
          </cell>
        </row>
      </sheetData>
      <sheetData sheetId="1549">
        <row r="1">
          <cell r="A1" t="str">
            <v>Department</v>
          </cell>
        </row>
      </sheetData>
      <sheetData sheetId="1550">
        <row r="18">
          <cell r="N18" t="str">
            <v>ENGINEERING</v>
          </cell>
        </row>
      </sheetData>
      <sheetData sheetId="1551">
        <row r="1">
          <cell r="A1" t="str">
            <v>Department</v>
          </cell>
        </row>
      </sheetData>
      <sheetData sheetId="1552">
        <row r="1">
          <cell r="A1" t="str">
            <v>CC-CE</v>
          </cell>
        </row>
      </sheetData>
      <sheetData sheetId="1553">
        <row r="1">
          <cell r="A1" t="str">
            <v>CC-CE</v>
          </cell>
        </row>
      </sheetData>
      <sheetData sheetId="1554"/>
      <sheetData sheetId="1555">
        <row r="1">
          <cell r="A1" t="str">
            <v>CC-CE</v>
          </cell>
        </row>
      </sheetData>
      <sheetData sheetId="1556">
        <row r="1">
          <cell r="A1" t="str">
            <v>CC-CE</v>
          </cell>
        </row>
      </sheetData>
      <sheetData sheetId="1557"/>
      <sheetData sheetId="1558"/>
      <sheetData sheetId="1559"/>
      <sheetData sheetId="1560"/>
      <sheetData sheetId="1561">
        <row r="1">
          <cell r="A1" t="str">
            <v>Department</v>
          </cell>
        </row>
      </sheetData>
      <sheetData sheetId="1562">
        <row r="1">
          <cell r="A1" t="str">
            <v>CC-CE</v>
          </cell>
        </row>
      </sheetData>
      <sheetData sheetId="1563">
        <row r="1">
          <cell r="A1" t="str">
            <v>CC-CE</v>
          </cell>
        </row>
      </sheetData>
      <sheetData sheetId="1564"/>
      <sheetData sheetId="1565">
        <row r="1">
          <cell r="D1" t="str">
            <v>No BA Rekon:</v>
          </cell>
        </row>
      </sheetData>
      <sheetData sheetId="1566"/>
      <sheetData sheetId="1567"/>
      <sheetData sheetId="1568">
        <row r="1">
          <cell r="A1" t="str">
            <v>Item Code</v>
          </cell>
        </row>
      </sheetData>
      <sheetData sheetId="1569"/>
      <sheetData sheetId="1570"/>
      <sheetData sheetId="1571"/>
      <sheetData sheetId="1572"/>
      <sheetData sheetId="1573"/>
      <sheetData sheetId="1574"/>
      <sheetData sheetId="1575">
        <row r="1">
          <cell r="A1" t="str">
            <v>Item Code</v>
          </cell>
        </row>
      </sheetData>
      <sheetData sheetId="1576"/>
      <sheetData sheetId="1577">
        <row r="1">
          <cell r="D1" t="str">
            <v>No BA Rekon:</v>
          </cell>
        </row>
      </sheetData>
      <sheetData sheetId="1578">
        <row r="1">
          <cell r="A1" t="str">
            <v>Item Code</v>
          </cell>
        </row>
      </sheetData>
      <sheetData sheetId="1579">
        <row r="1">
          <cell r="D1" t="str">
            <v>No BA Rekon:</v>
          </cell>
        </row>
      </sheetData>
      <sheetData sheetId="1580">
        <row r="1">
          <cell r="D1" t="str">
            <v>No BA Rekon:</v>
          </cell>
        </row>
      </sheetData>
      <sheetData sheetId="1581"/>
      <sheetData sheetId="1582">
        <row r="1">
          <cell r="D1" t="str">
            <v>No BA Rekon:</v>
          </cell>
        </row>
      </sheetData>
      <sheetData sheetId="1583"/>
      <sheetData sheetId="1584">
        <row r="1">
          <cell r="D1" t="str">
            <v>No BA Rekon:</v>
          </cell>
        </row>
      </sheetData>
      <sheetData sheetId="1585"/>
      <sheetData sheetId="1586"/>
      <sheetData sheetId="1587"/>
      <sheetData sheetId="1588">
        <row r="1">
          <cell r="A1" t="str">
            <v>Item Code</v>
          </cell>
        </row>
      </sheetData>
      <sheetData sheetId="1589">
        <row r="1">
          <cell r="A1" t="str">
            <v>Item Code</v>
          </cell>
        </row>
      </sheetData>
      <sheetData sheetId="1590"/>
      <sheetData sheetId="1591"/>
      <sheetData sheetId="1592"/>
      <sheetData sheetId="1593">
        <row r="1">
          <cell r="D1" t="str">
            <v>No BA Rekon:</v>
          </cell>
        </row>
      </sheetData>
      <sheetData sheetId="1594">
        <row r="1">
          <cell r="D1" t="str">
            <v>No BA Rekon:</v>
          </cell>
        </row>
      </sheetData>
      <sheetData sheetId="1595"/>
      <sheetData sheetId="1596"/>
      <sheetData sheetId="1597">
        <row r="1">
          <cell r="A1" t="str">
            <v>Item Code</v>
          </cell>
        </row>
      </sheetData>
      <sheetData sheetId="1598">
        <row r="1">
          <cell r="D1" t="str">
            <v>No BA Rekon:</v>
          </cell>
        </row>
      </sheetData>
      <sheetData sheetId="1599">
        <row r="1">
          <cell r="D1" t="str">
            <v>No BA Rekon:</v>
          </cell>
        </row>
      </sheetData>
      <sheetData sheetId="1600"/>
      <sheetData sheetId="1601"/>
      <sheetData sheetId="1602">
        <row r="1">
          <cell r="D1" t="str">
            <v>No BA Rekon:</v>
          </cell>
        </row>
      </sheetData>
      <sheetData sheetId="1603">
        <row r="1">
          <cell r="D1" t="str">
            <v>No BA Rekon:</v>
          </cell>
        </row>
      </sheetData>
      <sheetData sheetId="1604"/>
      <sheetData sheetId="1605"/>
      <sheetData sheetId="1606"/>
      <sheetData sheetId="1607"/>
      <sheetData sheetId="1608"/>
      <sheetData sheetId="1609"/>
      <sheetData sheetId="1610">
        <row r="1">
          <cell r="D1" t="str">
            <v>No BA Rekon:</v>
          </cell>
        </row>
      </sheetData>
      <sheetData sheetId="1611">
        <row r="1">
          <cell r="D1" t="str">
            <v>No BA Rekon:</v>
          </cell>
        </row>
      </sheetData>
      <sheetData sheetId="1612"/>
      <sheetData sheetId="1613"/>
      <sheetData sheetId="1614">
        <row r="1">
          <cell r="D1" t="str">
            <v>No BA Rekon:</v>
          </cell>
        </row>
      </sheetData>
      <sheetData sheetId="1615">
        <row r="1">
          <cell r="D1" t="str">
            <v>No BA Rekon:</v>
          </cell>
        </row>
      </sheetData>
      <sheetData sheetId="1616">
        <row r="1">
          <cell r="D1" t="str">
            <v>No BA Rekon:</v>
          </cell>
        </row>
      </sheetData>
      <sheetData sheetId="1617">
        <row r="1">
          <cell r="D1" t="str">
            <v>No BA Rekon:</v>
          </cell>
        </row>
      </sheetData>
      <sheetData sheetId="1618"/>
      <sheetData sheetId="1619"/>
      <sheetData sheetId="1620"/>
      <sheetData sheetId="1621"/>
      <sheetData sheetId="1622">
        <row r="1">
          <cell r="A1" t="str">
            <v>Item Code</v>
          </cell>
        </row>
      </sheetData>
      <sheetData sheetId="1623"/>
      <sheetData sheetId="1624">
        <row r="1">
          <cell r="A1" t="str">
            <v>Item Code</v>
          </cell>
        </row>
      </sheetData>
      <sheetData sheetId="1625">
        <row r="1">
          <cell r="D1" t="str">
            <v>No BA Rekon:</v>
          </cell>
        </row>
      </sheetData>
      <sheetData sheetId="1626">
        <row r="1">
          <cell r="D1" t="str">
            <v>No BA Rekon:</v>
          </cell>
        </row>
      </sheetData>
      <sheetData sheetId="1627">
        <row r="1">
          <cell r="D1" t="str">
            <v>No BA Rekon:</v>
          </cell>
        </row>
      </sheetData>
      <sheetData sheetId="1628">
        <row r="1">
          <cell r="D1" t="str">
            <v>No BA Rekon:</v>
          </cell>
        </row>
      </sheetData>
      <sheetData sheetId="1629">
        <row r="1">
          <cell r="D1" t="str">
            <v>No BA Rekon:</v>
          </cell>
        </row>
      </sheetData>
      <sheetData sheetId="1630">
        <row r="1">
          <cell r="D1" t="str">
            <v>No BA Rekon:</v>
          </cell>
        </row>
      </sheetData>
      <sheetData sheetId="1631"/>
      <sheetData sheetId="1632"/>
      <sheetData sheetId="1633"/>
      <sheetData sheetId="1634"/>
      <sheetData sheetId="1635"/>
      <sheetData sheetId="1636"/>
      <sheetData sheetId="1637"/>
      <sheetData sheetId="1638">
        <row r="1">
          <cell r="D1" t="str">
            <v>No BA Rekon:</v>
          </cell>
        </row>
      </sheetData>
      <sheetData sheetId="1639"/>
      <sheetData sheetId="1640">
        <row r="1">
          <cell r="D1" t="str">
            <v>No BA Rekon:</v>
          </cell>
        </row>
      </sheetData>
      <sheetData sheetId="1641"/>
      <sheetData sheetId="1642">
        <row r="1">
          <cell r="D1" t="str">
            <v>No BA Rekon:</v>
          </cell>
        </row>
      </sheetData>
      <sheetData sheetId="1643"/>
      <sheetData sheetId="1644">
        <row r="1">
          <cell r="D1" t="str">
            <v>No BA Rekon:</v>
          </cell>
        </row>
      </sheetData>
      <sheetData sheetId="1645"/>
      <sheetData sheetId="1646">
        <row r="1">
          <cell r="D1" t="str">
            <v>No BA Rekon:</v>
          </cell>
        </row>
      </sheetData>
      <sheetData sheetId="1647"/>
      <sheetData sheetId="1648"/>
      <sheetData sheetId="1649">
        <row r="1">
          <cell r="A1" t="str">
            <v>Item Code</v>
          </cell>
        </row>
      </sheetData>
      <sheetData sheetId="1650">
        <row r="1">
          <cell r="A1" t="str">
            <v>Item Code</v>
          </cell>
        </row>
      </sheetData>
      <sheetData sheetId="1651"/>
      <sheetData sheetId="1652"/>
      <sheetData sheetId="1653">
        <row r="1">
          <cell r="A1" t="str">
            <v>Item Code</v>
          </cell>
        </row>
      </sheetData>
      <sheetData sheetId="1654"/>
      <sheetData sheetId="1655">
        <row r="1">
          <cell r="D1" t="str">
            <v>No BA Rekon:</v>
          </cell>
        </row>
      </sheetData>
      <sheetData sheetId="1656"/>
      <sheetData sheetId="1657"/>
      <sheetData sheetId="1658"/>
      <sheetData sheetId="1659">
        <row r="1">
          <cell r="A1" t="str">
            <v>Item Code</v>
          </cell>
        </row>
      </sheetData>
      <sheetData sheetId="1660">
        <row r="1">
          <cell r="A1" t="str">
            <v>Item Code</v>
          </cell>
        </row>
      </sheetData>
      <sheetData sheetId="1661">
        <row r="1">
          <cell r="A1" t="str">
            <v>Item Code</v>
          </cell>
        </row>
      </sheetData>
      <sheetData sheetId="1662">
        <row r="1">
          <cell r="A1" t="str">
            <v>Item Code</v>
          </cell>
        </row>
      </sheetData>
      <sheetData sheetId="1663">
        <row r="1">
          <cell r="A1" t="str">
            <v>Item Code</v>
          </cell>
        </row>
      </sheetData>
      <sheetData sheetId="1664">
        <row r="1">
          <cell r="A1" t="str">
            <v>Item Code</v>
          </cell>
        </row>
      </sheetData>
      <sheetData sheetId="1665">
        <row r="1">
          <cell r="D1" t="str">
            <v>No BA Rekon:</v>
          </cell>
        </row>
      </sheetData>
      <sheetData sheetId="1666">
        <row r="1">
          <cell r="A1" t="str">
            <v>Item Code</v>
          </cell>
        </row>
      </sheetData>
      <sheetData sheetId="1667">
        <row r="1">
          <cell r="D1" t="str">
            <v>No BA Rekon:</v>
          </cell>
        </row>
      </sheetData>
      <sheetData sheetId="1668">
        <row r="1">
          <cell r="D1" t="str">
            <v>No BA Rekon:</v>
          </cell>
        </row>
      </sheetData>
      <sheetData sheetId="1669"/>
      <sheetData sheetId="1670">
        <row r="1">
          <cell r="D1" t="str">
            <v>No BA Rekon:</v>
          </cell>
        </row>
      </sheetData>
      <sheetData sheetId="1671">
        <row r="1">
          <cell r="D1" t="str">
            <v>No BA Rekon:</v>
          </cell>
        </row>
      </sheetData>
      <sheetData sheetId="1672">
        <row r="1">
          <cell r="D1" t="str">
            <v>No BA Rekon:</v>
          </cell>
        </row>
      </sheetData>
      <sheetData sheetId="1673">
        <row r="1">
          <cell r="A1" t="str">
            <v>Item Code</v>
          </cell>
        </row>
      </sheetData>
      <sheetData sheetId="1674">
        <row r="1">
          <cell r="A1" t="str">
            <v>Item Code</v>
          </cell>
        </row>
      </sheetData>
      <sheetData sheetId="1675">
        <row r="1">
          <cell r="A1" t="str">
            <v>Item Code</v>
          </cell>
        </row>
      </sheetData>
      <sheetData sheetId="1676">
        <row r="1">
          <cell r="D1" t="str">
            <v>No BA Rekon:</v>
          </cell>
        </row>
      </sheetData>
      <sheetData sheetId="1677">
        <row r="1">
          <cell r="D1" t="str">
            <v>No BA Rekon:</v>
          </cell>
        </row>
      </sheetData>
      <sheetData sheetId="1678">
        <row r="1">
          <cell r="D1" t="str">
            <v>No BA Rekon:</v>
          </cell>
        </row>
      </sheetData>
      <sheetData sheetId="1679">
        <row r="1">
          <cell r="D1" t="str">
            <v>No BA Rekon:</v>
          </cell>
        </row>
      </sheetData>
      <sheetData sheetId="1680">
        <row r="1">
          <cell r="D1" t="str">
            <v>No BA Rekon:</v>
          </cell>
        </row>
      </sheetData>
      <sheetData sheetId="1681">
        <row r="1">
          <cell r="D1" t="str">
            <v>No BA Rekon:</v>
          </cell>
        </row>
      </sheetData>
      <sheetData sheetId="1682">
        <row r="1">
          <cell r="A1" t="str">
            <v>Item Code</v>
          </cell>
        </row>
      </sheetData>
      <sheetData sheetId="1683">
        <row r="1">
          <cell r="A1" t="str">
            <v>Item Code</v>
          </cell>
        </row>
      </sheetData>
      <sheetData sheetId="1684">
        <row r="1">
          <cell r="A1" t="str">
            <v>Item Code</v>
          </cell>
        </row>
      </sheetData>
      <sheetData sheetId="1685"/>
      <sheetData sheetId="1686">
        <row r="1">
          <cell r="A1" t="str">
            <v>Item Code</v>
          </cell>
        </row>
      </sheetData>
      <sheetData sheetId="1687"/>
      <sheetData sheetId="1688">
        <row r="1">
          <cell r="A1" t="str">
            <v>Item Code</v>
          </cell>
        </row>
      </sheetData>
      <sheetData sheetId="1689">
        <row r="1">
          <cell r="A1" t="str">
            <v>Item Code</v>
          </cell>
        </row>
      </sheetData>
      <sheetData sheetId="1690">
        <row r="1">
          <cell r="A1" t="str">
            <v>Item Code</v>
          </cell>
        </row>
      </sheetData>
      <sheetData sheetId="1691">
        <row r="1">
          <cell r="A1" t="str">
            <v>Item Code</v>
          </cell>
        </row>
      </sheetData>
      <sheetData sheetId="1692">
        <row r="1">
          <cell r="A1" t="str">
            <v>Item Code</v>
          </cell>
        </row>
      </sheetData>
      <sheetData sheetId="1693">
        <row r="1">
          <cell r="A1" t="str">
            <v>Item Code</v>
          </cell>
        </row>
      </sheetData>
      <sheetData sheetId="1694">
        <row r="1">
          <cell r="A1" t="str">
            <v>Item Code</v>
          </cell>
        </row>
      </sheetData>
      <sheetData sheetId="1695">
        <row r="1">
          <cell r="A1" t="str">
            <v>Item Code</v>
          </cell>
        </row>
      </sheetData>
      <sheetData sheetId="1696"/>
      <sheetData sheetId="1697"/>
      <sheetData sheetId="1698">
        <row r="1">
          <cell r="A1" t="str">
            <v>Item Code</v>
          </cell>
        </row>
      </sheetData>
      <sheetData sheetId="1699">
        <row r="1">
          <cell r="A1" t="str">
            <v>Item Code</v>
          </cell>
        </row>
      </sheetData>
      <sheetData sheetId="1700">
        <row r="1">
          <cell r="A1" t="str">
            <v>Item Code</v>
          </cell>
        </row>
      </sheetData>
      <sheetData sheetId="1701"/>
      <sheetData sheetId="1702">
        <row r="1">
          <cell r="A1" t="str">
            <v>Item Code</v>
          </cell>
        </row>
      </sheetData>
      <sheetData sheetId="1703">
        <row r="1">
          <cell r="A1" t="str">
            <v>Item Code</v>
          </cell>
        </row>
      </sheetData>
      <sheetData sheetId="1704">
        <row r="1">
          <cell r="A1" t="str">
            <v>Item Code</v>
          </cell>
        </row>
      </sheetData>
      <sheetData sheetId="1705">
        <row r="1">
          <cell r="A1" t="str">
            <v>Item Code</v>
          </cell>
        </row>
      </sheetData>
      <sheetData sheetId="1706">
        <row r="1">
          <cell r="A1" t="str">
            <v>Item Code</v>
          </cell>
        </row>
      </sheetData>
      <sheetData sheetId="1707">
        <row r="1">
          <cell r="A1" t="str">
            <v>Item Code</v>
          </cell>
        </row>
      </sheetData>
      <sheetData sheetId="1708">
        <row r="1">
          <cell r="A1" t="str">
            <v>Item Code</v>
          </cell>
        </row>
      </sheetData>
      <sheetData sheetId="1709">
        <row r="1">
          <cell r="A1" t="str">
            <v>Item Code</v>
          </cell>
        </row>
      </sheetData>
      <sheetData sheetId="1710">
        <row r="1">
          <cell r="A1" t="str">
            <v>Item Code</v>
          </cell>
        </row>
      </sheetData>
      <sheetData sheetId="1711">
        <row r="1">
          <cell r="A1" t="str">
            <v>Item Code</v>
          </cell>
        </row>
      </sheetData>
      <sheetData sheetId="1712">
        <row r="1">
          <cell r="A1" t="str">
            <v>Item Code</v>
          </cell>
        </row>
      </sheetData>
      <sheetData sheetId="1713">
        <row r="1">
          <cell r="A1" t="str">
            <v>Item Code</v>
          </cell>
        </row>
      </sheetData>
      <sheetData sheetId="1714">
        <row r="1">
          <cell r="A1" t="str">
            <v>Item Code</v>
          </cell>
        </row>
      </sheetData>
      <sheetData sheetId="1715">
        <row r="1">
          <cell r="A1" t="str">
            <v>Item Code</v>
          </cell>
        </row>
      </sheetData>
      <sheetData sheetId="1716">
        <row r="1">
          <cell r="A1" t="str">
            <v>Item Code</v>
          </cell>
        </row>
      </sheetData>
      <sheetData sheetId="1717">
        <row r="1">
          <cell r="A1" t="str">
            <v>Item Code</v>
          </cell>
        </row>
      </sheetData>
      <sheetData sheetId="1718">
        <row r="1">
          <cell r="A1" t="str">
            <v>Item Code</v>
          </cell>
        </row>
      </sheetData>
      <sheetData sheetId="1719">
        <row r="1">
          <cell r="A1" t="str">
            <v>Item Code</v>
          </cell>
        </row>
      </sheetData>
      <sheetData sheetId="1720">
        <row r="1">
          <cell r="A1" t="str">
            <v>Item Code</v>
          </cell>
        </row>
      </sheetData>
      <sheetData sheetId="1721">
        <row r="1">
          <cell r="A1" t="str">
            <v>Item Code</v>
          </cell>
        </row>
      </sheetData>
      <sheetData sheetId="1722">
        <row r="1">
          <cell r="A1" t="str">
            <v>Item Code</v>
          </cell>
        </row>
      </sheetData>
      <sheetData sheetId="1723">
        <row r="1">
          <cell r="A1" t="str">
            <v>Item Code</v>
          </cell>
        </row>
      </sheetData>
      <sheetData sheetId="1724">
        <row r="1">
          <cell r="A1" t="str">
            <v>Item Code</v>
          </cell>
        </row>
      </sheetData>
      <sheetData sheetId="1725">
        <row r="1">
          <cell r="A1" t="str">
            <v>Item Code</v>
          </cell>
        </row>
      </sheetData>
      <sheetData sheetId="1726">
        <row r="1">
          <cell r="D1" t="str">
            <v>No BA Rekon:</v>
          </cell>
        </row>
      </sheetData>
      <sheetData sheetId="1727">
        <row r="1">
          <cell r="A1" t="str">
            <v>Item Code</v>
          </cell>
        </row>
      </sheetData>
      <sheetData sheetId="1728">
        <row r="1">
          <cell r="A1" t="str">
            <v>Item Code</v>
          </cell>
        </row>
      </sheetData>
      <sheetData sheetId="1729">
        <row r="1">
          <cell r="A1" t="str">
            <v>Item Code</v>
          </cell>
        </row>
      </sheetData>
      <sheetData sheetId="1730">
        <row r="1">
          <cell r="A1" t="str">
            <v>Item Code</v>
          </cell>
        </row>
      </sheetData>
      <sheetData sheetId="1731">
        <row r="1">
          <cell r="A1" t="str">
            <v>Item Code</v>
          </cell>
        </row>
      </sheetData>
      <sheetData sheetId="1732">
        <row r="1">
          <cell r="A1" t="str">
            <v>Item Code</v>
          </cell>
        </row>
      </sheetData>
      <sheetData sheetId="1733">
        <row r="1">
          <cell r="A1" t="str">
            <v>Item Code</v>
          </cell>
        </row>
      </sheetData>
      <sheetData sheetId="1734">
        <row r="1">
          <cell r="A1" t="str">
            <v>Item Code</v>
          </cell>
        </row>
      </sheetData>
      <sheetData sheetId="1735">
        <row r="1">
          <cell r="A1" t="str">
            <v>Item Code</v>
          </cell>
        </row>
      </sheetData>
      <sheetData sheetId="1736">
        <row r="1">
          <cell r="A1" t="str">
            <v>Item Code</v>
          </cell>
        </row>
      </sheetData>
      <sheetData sheetId="1737"/>
      <sheetData sheetId="1738"/>
      <sheetData sheetId="1739"/>
      <sheetData sheetId="1740"/>
      <sheetData sheetId="1741">
        <row r="1">
          <cell r="A1" t="str">
            <v>Item Code</v>
          </cell>
        </row>
      </sheetData>
      <sheetData sheetId="1742">
        <row r="1">
          <cell r="A1" t="str">
            <v>Item Code</v>
          </cell>
        </row>
      </sheetData>
      <sheetData sheetId="1743">
        <row r="1">
          <cell r="A1" t="str">
            <v>Item Code</v>
          </cell>
        </row>
      </sheetData>
      <sheetData sheetId="1744">
        <row r="1">
          <cell r="A1" t="str">
            <v>Item Code</v>
          </cell>
        </row>
      </sheetData>
      <sheetData sheetId="1745">
        <row r="1">
          <cell r="A1" t="str">
            <v>Item Code</v>
          </cell>
        </row>
      </sheetData>
      <sheetData sheetId="1746">
        <row r="1">
          <cell r="A1" t="str">
            <v>Item Code</v>
          </cell>
        </row>
      </sheetData>
      <sheetData sheetId="1747">
        <row r="1">
          <cell r="A1" t="str">
            <v>Item Code</v>
          </cell>
        </row>
      </sheetData>
      <sheetData sheetId="1748">
        <row r="1">
          <cell r="A1" t="str">
            <v>Item Code</v>
          </cell>
        </row>
      </sheetData>
      <sheetData sheetId="1749">
        <row r="1">
          <cell r="A1" t="str">
            <v>Item Code</v>
          </cell>
        </row>
      </sheetData>
      <sheetData sheetId="1750">
        <row r="1">
          <cell r="A1" t="str">
            <v>Item Code</v>
          </cell>
        </row>
      </sheetData>
      <sheetData sheetId="1751">
        <row r="1">
          <cell r="A1" t="str">
            <v>Item Code</v>
          </cell>
        </row>
      </sheetData>
      <sheetData sheetId="1752">
        <row r="1">
          <cell r="A1" t="str">
            <v>Item Code</v>
          </cell>
        </row>
      </sheetData>
      <sheetData sheetId="1753">
        <row r="1">
          <cell r="A1" t="str">
            <v>Item Code</v>
          </cell>
        </row>
      </sheetData>
      <sheetData sheetId="1754">
        <row r="1">
          <cell r="A1" t="str">
            <v>Item Code</v>
          </cell>
        </row>
      </sheetData>
      <sheetData sheetId="1755">
        <row r="1">
          <cell r="A1" t="str">
            <v>Item Code</v>
          </cell>
        </row>
      </sheetData>
      <sheetData sheetId="1756">
        <row r="1">
          <cell r="A1" t="str">
            <v>Item Code</v>
          </cell>
        </row>
      </sheetData>
      <sheetData sheetId="1757">
        <row r="1">
          <cell r="A1" t="str">
            <v>Item Code</v>
          </cell>
        </row>
      </sheetData>
      <sheetData sheetId="1758">
        <row r="1">
          <cell r="A1" t="str">
            <v>Item Code</v>
          </cell>
        </row>
      </sheetData>
      <sheetData sheetId="1759">
        <row r="1">
          <cell r="A1" t="str">
            <v>Item Code</v>
          </cell>
        </row>
      </sheetData>
      <sheetData sheetId="1760">
        <row r="1">
          <cell r="A1" t="str">
            <v>Item Code</v>
          </cell>
        </row>
      </sheetData>
      <sheetData sheetId="1761">
        <row r="1">
          <cell r="A1" t="str">
            <v>Item Code</v>
          </cell>
        </row>
      </sheetData>
      <sheetData sheetId="1762">
        <row r="1">
          <cell r="A1" t="str">
            <v>Item Code</v>
          </cell>
        </row>
      </sheetData>
      <sheetData sheetId="1763">
        <row r="1">
          <cell r="A1" t="str">
            <v>Item Code</v>
          </cell>
        </row>
      </sheetData>
      <sheetData sheetId="1764">
        <row r="1">
          <cell r="A1" t="str">
            <v>Item Code</v>
          </cell>
        </row>
      </sheetData>
      <sheetData sheetId="1765">
        <row r="1">
          <cell r="A1" t="str">
            <v>Item Code</v>
          </cell>
        </row>
      </sheetData>
      <sheetData sheetId="1766">
        <row r="1">
          <cell r="A1" t="str">
            <v>Item Code</v>
          </cell>
        </row>
      </sheetData>
      <sheetData sheetId="1767">
        <row r="1">
          <cell r="A1" t="str">
            <v>Item Code</v>
          </cell>
        </row>
      </sheetData>
      <sheetData sheetId="1768">
        <row r="1">
          <cell r="A1" t="str">
            <v>Item Code</v>
          </cell>
        </row>
      </sheetData>
      <sheetData sheetId="1769">
        <row r="1">
          <cell r="A1" t="str">
            <v>Item Code</v>
          </cell>
        </row>
      </sheetData>
      <sheetData sheetId="1770">
        <row r="1">
          <cell r="A1" t="str">
            <v>Item Code</v>
          </cell>
        </row>
      </sheetData>
      <sheetData sheetId="1771">
        <row r="1">
          <cell r="A1" t="str">
            <v>Item Code</v>
          </cell>
        </row>
      </sheetData>
      <sheetData sheetId="1772">
        <row r="1">
          <cell r="A1" t="str">
            <v>Item Code</v>
          </cell>
        </row>
      </sheetData>
      <sheetData sheetId="1773">
        <row r="1">
          <cell r="A1" t="str">
            <v>Item Code</v>
          </cell>
        </row>
      </sheetData>
      <sheetData sheetId="1774">
        <row r="1">
          <cell r="A1" t="str">
            <v>Item Code</v>
          </cell>
        </row>
      </sheetData>
      <sheetData sheetId="1775">
        <row r="1">
          <cell r="A1" t="str">
            <v>Item Code</v>
          </cell>
        </row>
      </sheetData>
      <sheetData sheetId="1776">
        <row r="1">
          <cell r="A1" t="str">
            <v>Item Code</v>
          </cell>
        </row>
      </sheetData>
      <sheetData sheetId="1777">
        <row r="1">
          <cell r="A1" t="str">
            <v>Item Code</v>
          </cell>
        </row>
      </sheetData>
      <sheetData sheetId="1778">
        <row r="1">
          <cell r="A1" t="str">
            <v>Item Code</v>
          </cell>
        </row>
      </sheetData>
      <sheetData sheetId="1779">
        <row r="1">
          <cell r="A1" t="str">
            <v>Item Code</v>
          </cell>
        </row>
      </sheetData>
      <sheetData sheetId="1780"/>
      <sheetData sheetId="1781"/>
      <sheetData sheetId="1782"/>
      <sheetData sheetId="1783"/>
      <sheetData sheetId="1784">
        <row r="2">
          <cell r="G2">
            <v>16</v>
          </cell>
        </row>
      </sheetData>
      <sheetData sheetId="1785"/>
      <sheetData sheetId="1786">
        <row r="1">
          <cell r="A1" t="str">
            <v>Item Code</v>
          </cell>
        </row>
      </sheetData>
      <sheetData sheetId="1787">
        <row r="1">
          <cell r="A1" t="str">
            <v>Item Code</v>
          </cell>
        </row>
      </sheetData>
      <sheetData sheetId="1788">
        <row r="1">
          <cell r="A1" t="str">
            <v>Item Code</v>
          </cell>
        </row>
      </sheetData>
      <sheetData sheetId="1789">
        <row r="1">
          <cell r="A1" t="str">
            <v>Item Code</v>
          </cell>
        </row>
      </sheetData>
      <sheetData sheetId="1790">
        <row r="1">
          <cell r="A1" t="str">
            <v>Item Code</v>
          </cell>
        </row>
      </sheetData>
      <sheetData sheetId="1791">
        <row r="1">
          <cell r="A1" t="str">
            <v>Item Code</v>
          </cell>
        </row>
      </sheetData>
      <sheetData sheetId="1792">
        <row r="1">
          <cell r="A1" t="str">
            <v>Item Code</v>
          </cell>
        </row>
      </sheetData>
      <sheetData sheetId="1793">
        <row r="1">
          <cell r="A1" t="str">
            <v>Item Code</v>
          </cell>
        </row>
      </sheetData>
      <sheetData sheetId="1794">
        <row r="1">
          <cell r="A1" t="str">
            <v>Item Code</v>
          </cell>
        </row>
      </sheetData>
      <sheetData sheetId="1795">
        <row r="1">
          <cell r="A1" t="str">
            <v>Item Code</v>
          </cell>
        </row>
      </sheetData>
      <sheetData sheetId="1796">
        <row r="1">
          <cell r="A1" t="str">
            <v>Item Code</v>
          </cell>
        </row>
      </sheetData>
      <sheetData sheetId="1797">
        <row r="1">
          <cell r="A1" t="str">
            <v>Item Code</v>
          </cell>
        </row>
      </sheetData>
      <sheetData sheetId="1798">
        <row r="1">
          <cell r="A1" t="str">
            <v>Item Code</v>
          </cell>
        </row>
      </sheetData>
      <sheetData sheetId="1799">
        <row r="1">
          <cell r="A1" t="str">
            <v>Item Code</v>
          </cell>
        </row>
      </sheetData>
      <sheetData sheetId="1800">
        <row r="1">
          <cell r="A1" t="str">
            <v>Item Code</v>
          </cell>
        </row>
      </sheetData>
      <sheetData sheetId="1801">
        <row r="1">
          <cell r="A1" t="str">
            <v>Item Code</v>
          </cell>
        </row>
      </sheetData>
      <sheetData sheetId="1802">
        <row r="1">
          <cell r="A1" t="str">
            <v>Item Code</v>
          </cell>
        </row>
      </sheetData>
      <sheetData sheetId="1803">
        <row r="1">
          <cell r="A1" t="str">
            <v>Item Code</v>
          </cell>
        </row>
      </sheetData>
      <sheetData sheetId="1804">
        <row r="1">
          <cell r="A1" t="str">
            <v>Item Code</v>
          </cell>
        </row>
      </sheetData>
      <sheetData sheetId="1805">
        <row r="1">
          <cell r="A1" t="str">
            <v>Item Code</v>
          </cell>
        </row>
      </sheetData>
      <sheetData sheetId="1806">
        <row r="1">
          <cell r="A1" t="str">
            <v>Item Code</v>
          </cell>
        </row>
      </sheetData>
      <sheetData sheetId="1807">
        <row r="1">
          <cell r="A1" t="str">
            <v>Item Code</v>
          </cell>
        </row>
      </sheetData>
      <sheetData sheetId="1808">
        <row r="1">
          <cell r="A1" t="str">
            <v>Item Code</v>
          </cell>
        </row>
      </sheetData>
      <sheetData sheetId="1809">
        <row r="1">
          <cell r="A1" t="str">
            <v>Item Code</v>
          </cell>
        </row>
      </sheetData>
      <sheetData sheetId="1810">
        <row r="1">
          <cell r="A1" t="str">
            <v>Item Code</v>
          </cell>
        </row>
      </sheetData>
      <sheetData sheetId="1811">
        <row r="1">
          <cell r="A1" t="str">
            <v>Item Code</v>
          </cell>
        </row>
      </sheetData>
      <sheetData sheetId="1812">
        <row r="1">
          <cell r="A1" t="str">
            <v>Item Code</v>
          </cell>
        </row>
      </sheetData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>
        <row r="1">
          <cell r="A1" t="str">
            <v>Item Code</v>
          </cell>
        </row>
      </sheetData>
      <sheetData sheetId="1835">
        <row r="1">
          <cell r="A1" t="str">
            <v>Item Code</v>
          </cell>
        </row>
      </sheetData>
      <sheetData sheetId="1836">
        <row r="1">
          <cell r="A1" t="str">
            <v>Item Code</v>
          </cell>
        </row>
      </sheetData>
      <sheetData sheetId="1837">
        <row r="1">
          <cell r="A1" t="str">
            <v>Item Code</v>
          </cell>
        </row>
      </sheetData>
      <sheetData sheetId="1838">
        <row r="1">
          <cell r="A1" t="str">
            <v>Item Code</v>
          </cell>
        </row>
      </sheetData>
      <sheetData sheetId="1839">
        <row r="1">
          <cell r="A1" t="str">
            <v>Item Code</v>
          </cell>
        </row>
      </sheetData>
      <sheetData sheetId="1840">
        <row r="1">
          <cell r="A1" t="str">
            <v>Item Code</v>
          </cell>
        </row>
      </sheetData>
      <sheetData sheetId="1841">
        <row r="1">
          <cell r="A1" t="str">
            <v>Item Code</v>
          </cell>
        </row>
      </sheetData>
      <sheetData sheetId="1842">
        <row r="1">
          <cell r="A1" t="str">
            <v>Item Code</v>
          </cell>
        </row>
      </sheetData>
      <sheetData sheetId="1843">
        <row r="1">
          <cell r="A1" t="str">
            <v>Item Code</v>
          </cell>
        </row>
      </sheetData>
      <sheetData sheetId="1844">
        <row r="1">
          <cell r="A1" t="str">
            <v>Item Code</v>
          </cell>
        </row>
      </sheetData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/>
      <sheetData sheetId="1873">
        <row r="1">
          <cell r="A1" t="str">
            <v>Item Code</v>
          </cell>
        </row>
      </sheetData>
      <sheetData sheetId="1874">
        <row r="1">
          <cell r="A1" t="str">
            <v>Item Code</v>
          </cell>
        </row>
      </sheetData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/>
      <sheetData sheetId="1882">
        <row r="1">
          <cell r="A1" t="str">
            <v>Item Code</v>
          </cell>
        </row>
      </sheetData>
      <sheetData sheetId="1883">
        <row r="1">
          <cell r="A1" t="str">
            <v>Item Code</v>
          </cell>
        </row>
      </sheetData>
      <sheetData sheetId="1884">
        <row r="1">
          <cell r="A1" t="str">
            <v>Item Code</v>
          </cell>
        </row>
      </sheetData>
      <sheetData sheetId="1885">
        <row r="1">
          <cell r="A1" t="str">
            <v>Item Code</v>
          </cell>
        </row>
      </sheetData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>
        <row r="1">
          <cell r="A1" t="str">
            <v>Item Code</v>
          </cell>
        </row>
      </sheetData>
      <sheetData sheetId="1968">
        <row r="1">
          <cell r="A1" t="str">
            <v>Item Code</v>
          </cell>
        </row>
      </sheetData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>
        <row r="1">
          <cell r="A1" t="str">
            <v>Item Code</v>
          </cell>
        </row>
      </sheetData>
      <sheetData sheetId="2025">
        <row r="1">
          <cell r="A1" t="str">
            <v>Item Code</v>
          </cell>
        </row>
      </sheetData>
      <sheetData sheetId="2026">
        <row r="1">
          <cell r="A1" t="str">
            <v>Item Code</v>
          </cell>
        </row>
      </sheetData>
      <sheetData sheetId="2027" refreshError="1"/>
      <sheetData sheetId="2028">
        <row r="1">
          <cell r="A1" t="str">
            <v>Item Code</v>
          </cell>
        </row>
      </sheetData>
      <sheetData sheetId="2029">
        <row r="1">
          <cell r="A1" t="str">
            <v>Item Code</v>
          </cell>
        </row>
      </sheetData>
      <sheetData sheetId="2030">
        <row r="1">
          <cell r="A1" t="str">
            <v>Item Code</v>
          </cell>
        </row>
      </sheetData>
      <sheetData sheetId="2031">
        <row r="1">
          <cell r="A1" t="str">
            <v>Item Code</v>
          </cell>
        </row>
      </sheetData>
      <sheetData sheetId="2032">
        <row r="1">
          <cell r="A1" t="str">
            <v>Item Code</v>
          </cell>
        </row>
      </sheetData>
      <sheetData sheetId="2033">
        <row r="1">
          <cell r="A1" t="str">
            <v>Item Code</v>
          </cell>
        </row>
      </sheetData>
      <sheetData sheetId="2034">
        <row r="1">
          <cell r="A1" t="str">
            <v>Item Code</v>
          </cell>
        </row>
      </sheetData>
      <sheetData sheetId="2035">
        <row r="1">
          <cell r="A1" t="str">
            <v>Item Code</v>
          </cell>
        </row>
      </sheetData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A1" t="str">
            <v>Item Code</v>
          </cell>
        </row>
      </sheetData>
      <sheetData sheetId="2055">
        <row r="1">
          <cell r="A1" t="str">
            <v>Item Code</v>
          </cell>
        </row>
      </sheetData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>
        <row r="1">
          <cell r="A1" t="str">
            <v>Item Code</v>
          </cell>
        </row>
      </sheetData>
      <sheetData sheetId="2115">
        <row r="1">
          <cell r="D1" t="str">
            <v>No BA Rekon:</v>
          </cell>
        </row>
      </sheetData>
      <sheetData sheetId="2116">
        <row r="1">
          <cell r="D1" t="str">
            <v>No BA Rekon:</v>
          </cell>
        </row>
      </sheetData>
      <sheetData sheetId="2117">
        <row r="1">
          <cell r="D1" t="str">
            <v>No BA Rekon:</v>
          </cell>
        </row>
      </sheetData>
      <sheetData sheetId="2118">
        <row r="1">
          <cell r="A1" t="str">
            <v>Item Code</v>
          </cell>
        </row>
      </sheetData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D1" t="str">
            <v>No BA Rekon:</v>
          </cell>
        </row>
      </sheetData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>
        <row r="1">
          <cell r="A1" t="str">
            <v>Item Code</v>
          </cell>
        </row>
      </sheetData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>
        <row r="1">
          <cell r="A1" t="str">
            <v>Item Code</v>
          </cell>
        </row>
      </sheetData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>
        <row r="1">
          <cell r="D1" t="str">
            <v>No BA Rekon:</v>
          </cell>
        </row>
      </sheetData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>
        <row r="1">
          <cell r="A1" t="str">
            <v>Item Code</v>
          </cell>
        </row>
      </sheetData>
      <sheetData sheetId="2234">
        <row r="18">
          <cell r="N18" t="str">
            <v>ENGINEERING</v>
          </cell>
        </row>
      </sheetData>
      <sheetData sheetId="2235">
        <row r="18">
          <cell r="N18" t="str">
            <v>ENGINEERING</v>
          </cell>
        </row>
      </sheetData>
      <sheetData sheetId="2236">
        <row r="18">
          <cell r="N18" t="str">
            <v>ENGINEERING</v>
          </cell>
        </row>
      </sheetData>
      <sheetData sheetId="2237">
        <row r="18">
          <cell r="N18" t="str">
            <v>ENGINEERING</v>
          </cell>
        </row>
      </sheetData>
      <sheetData sheetId="2238">
        <row r="1">
          <cell r="A1" t="str">
            <v>Item Code</v>
          </cell>
        </row>
      </sheetData>
      <sheetData sheetId="2239">
        <row r="1">
          <cell r="D1" t="str">
            <v>No BA Rekon:</v>
          </cell>
        </row>
      </sheetData>
      <sheetData sheetId="2240">
        <row r="1">
          <cell r="D1" t="str">
            <v>No BA Rekon:</v>
          </cell>
        </row>
      </sheetData>
      <sheetData sheetId="2241">
        <row r="1">
          <cell r="D1" t="str">
            <v>No BA Rekon:</v>
          </cell>
        </row>
      </sheetData>
      <sheetData sheetId="2242">
        <row r="1">
          <cell r="A1" t="str">
            <v>Item Code</v>
          </cell>
        </row>
      </sheetData>
      <sheetData sheetId="2243">
        <row r="1">
          <cell r="A1" t="str">
            <v>Item Code</v>
          </cell>
        </row>
      </sheetData>
      <sheetData sheetId="2244">
        <row r="1">
          <cell r="D1" t="str">
            <v>No BA Rekon:</v>
          </cell>
        </row>
      </sheetData>
      <sheetData sheetId="2245">
        <row r="1">
          <cell r="D1" t="str">
            <v>No BA Rekon:</v>
          </cell>
        </row>
      </sheetData>
      <sheetData sheetId="2246">
        <row r="1">
          <cell r="D1" t="str">
            <v>No BA Rekon:</v>
          </cell>
        </row>
      </sheetData>
      <sheetData sheetId="2247">
        <row r="1">
          <cell r="A1" t="str">
            <v>Item Code</v>
          </cell>
        </row>
      </sheetData>
      <sheetData sheetId="2248">
        <row r="1">
          <cell r="A1" t="str">
            <v>Item Code</v>
          </cell>
        </row>
      </sheetData>
      <sheetData sheetId="2249">
        <row r="1">
          <cell r="D1" t="str">
            <v>No BA Rekon:</v>
          </cell>
        </row>
      </sheetData>
      <sheetData sheetId="2250">
        <row r="1">
          <cell r="D1" t="str">
            <v>No BA Rekon:</v>
          </cell>
        </row>
      </sheetData>
      <sheetData sheetId="2251">
        <row r="1">
          <cell r="D1" t="str">
            <v>No BA Rekon:</v>
          </cell>
        </row>
      </sheetData>
      <sheetData sheetId="2252">
        <row r="1">
          <cell r="D1" t="str">
            <v>No BA Rekon:</v>
          </cell>
        </row>
      </sheetData>
      <sheetData sheetId="2253">
        <row r="1">
          <cell r="D1" t="str">
            <v>No BA Rekon:</v>
          </cell>
        </row>
      </sheetData>
      <sheetData sheetId="2254">
        <row r="1">
          <cell r="D1" t="str">
            <v>No BA Rekon:</v>
          </cell>
        </row>
      </sheetData>
      <sheetData sheetId="2255">
        <row r="1">
          <cell r="A1" t="str">
            <v>NO</v>
          </cell>
        </row>
      </sheetData>
      <sheetData sheetId="2256">
        <row r="1">
          <cell r="D1" t="str">
            <v>No BA Rekon:</v>
          </cell>
        </row>
      </sheetData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>
        <row r="1">
          <cell r="A1" t="str">
            <v>MAP Listing Fees Propopsal 2019</v>
          </cell>
        </row>
      </sheetData>
      <sheetData sheetId="2322">
        <row r="1">
          <cell r="A1" t="str">
            <v>MAP Listing Fees Propopsal 2019</v>
          </cell>
        </row>
      </sheetData>
      <sheetData sheetId="2323">
        <row r="1">
          <cell r="A1" t="str">
            <v>MAP Listing Fees Propopsal 2019</v>
          </cell>
        </row>
      </sheetData>
      <sheetData sheetId="2324">
        <row r="1">
          <cell r="A1" t="str">
            <v>MAP Listing Fees Propopsal 2019</v>
          </cell>
        </row>
      </sheetData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>
        <row r="1">
          <cell r="A1" t="str">
            <v>NO</v>
          </cell>
        </row>
      </sheetData>
      <sheetData sheetId="2332">
        <row r="1">
          <cell r="A1" t="str">
            <v>CC-CE</v>
          </cell>
        </row>
      </sheetData>
      <sheetData sheetId="2333">
        <row r="1">
          <cell r="A1" t="str">
            <v>NO</v>
          </cell>
        </row>
      </sheetData>
      <sheetData sheetId="2334">
        <row r="1">
          <cell r="A1" t="str">
            <v>Item Code</v>
          </cell>
        </row>
      </sheetData>
      <sheetData sheetId="2335">
        <row r="1">
          <cell r="A1" t="str">
            <v>Item Code</v>
          </cell>
        </row>
      </sheetData>
      <sheetData sheetId="2336">
        <row r="1">
          <cell r="A1" t="str">
            <v>Item Code</v>
          </cell>
        </row>
      </sheetData>
      <sheetData sheetId="2337">
        <row r="1">
          <cell r="A1" t="str">
            <v>MAP Listing Fees Propopsal 2019</v>
          </cell>
        </row>
      </sheetData>
      <sheetData sheetId="2338">
        <row r="1">
          <cell r="A1" t="str">
            <v>Item Code</v>
          </cell>
        </row>
      </sheetData>
      <sheetData sheetId="2339">
        <row r="1">
          <cell r="D1" t="str">
            <v>No BA Rekon:</v>
          </cell>
        </row>
      </sheetData>
      <sheetData sheetId="2340">
        <row r="1">
          <cell r="D1" t="str">
            <v>No BA Rekon:</v>
          </cell>
        </row>
      </sheetData>
      <sheetData sheetId="2341">
        <row r="1">
          <cell r="A1" t="str">
            <v>NO</v>
          </cell>
        </row>
      </sheetData>
      <sheetData sheetId="2342">
        <row r="1">
          <cell r="D1" t="str">
            <v>No BA Rekon:</v>
          </cell>
        </row>
      </sheetData>
      <sheetData sheetId="2343">
        <row r="1">
          <cell r="A1" t="str">
            <v>MAP Listing Fees Propopsal 2019</v>
          </cell>
        </row>
      </sheetData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>
        <row r="1">
          <cell r="A1" t="str">
            <v>Item Code</v>
          </cell>
        </row>
      </sheetData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>
        <row r="1">
          <cell r="A1" t="str">
            <v>MAP Listing Fees Propopsal 2019</v>
          </cell>
        </row>
      </sheetData>
      <sheetData sheetId="2374">
        <row r="1">
          <cell r="A1" t="str">
            <v>MAP Listing Fees Propopsal 2019</v>
          </cell>
        </row>
      </sheetData>
      <sheetData sheetId="2375">
        <row r="1">
          <cell r="A1" t="str">
            <v>MAP Listing Fees Propopsal 2019</v>
          </cell>
        </row>
      </sheetData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>
        <row r="2">
          <cell r="G2">
            <v>16</v>
          </cell>
        </row>
      </sheetData>
      <sheetData sheetId="2391">
        <row r="2">
          <cell r="G2">
            <v>16</v>
          </cell>
        </row>
      </sheetData>
      <sheetData sheetId="2392">
        <row r="2">
          <cell r="G2">
            <v>16</v>
          </cell>
        </row>
      </sheetData>
      <sheetData sheetId="2393"/>
      <sheetData sheetId="2394"/>
      <sheetData sheetId="2395"/>
      <sheetData sheetId="2396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>
        <row r="1">
          <cell r="D1" t="str">
            <v>No BA Rekon:</v>
          </cell>
        </row>
      </sheetData>
      <sheetData sheetId="2531">
        <row r="1">
          <cell r="D1" t="str">
            <v>No BA Rekon:</v>
          </cell>
        </row>
      </sheetData>
      <sheetData sheetId="2532">
        <row r="1">
          <cell r="D1" t="str">
            <v>No BA Rekon:</v>
          </cell>
        </row>
      </sheetData>
      <sheetData sheetId="2533">
        <row r="1">
          <cell r="D1" t="str">
            <v>No BA Rekon:</v>
          </cell>
        </row>
      </sheetData>
      <sheetData sheetId="2534">
        <row r="1">
          <cell r="D1" t="str">
            <v>No BA Rekon:</v>
          </cell>
        </row>
      </sheetData>
      <sheetData sheetId="2535">
        <row r="1">
          <cell r="D1" t="str">
            <v>No BA Rekon:</v>
          </cell>
        </row>
      </sheetData>
      <sheetData sheetId="2536">
        <row r="1">
          <cell r="A1" t="str">
            <v>Item Code</v>
          </cell>
        </row>
      </sheetData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/>
      <sheetData sheetId="2578"/>
      <sheetData sheetId="2579"/>
      <sheetData sheetId="2580"/>
      <sheetData sheetId="2581"/>
      <sheetData sheetId="2582">
        <row r="1">
          <cell r="D1" t="str">
            <v>No BA Rekon:</v>
          </cell>
        </row>
      </sheetData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/>
      <sheetData sheetId="2609"/>
      <sheetData sheetId="2610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>
        <row r="1">
          <cell r="D1" t="str">
            <v>No BA Rekon:</v>
          </cell>
        </row>
      </sheetData>
      <sheetData sheetId="2702">
        <row r="1">
          <cell r="A1" t="str">
            <v>MAP Listing Fees Propopsal 2019</v>
          </cell>
        </row>
      </sheetData>
      <sheetData sheetId="2703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/>
      <sheetData sheetId="2737">
        <row r="2">
          <cell r="G2">
            <v>16</v>
          </cell>
        </row>
      </sheetData>
      <sheetData sheetId="2738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/>
      <sheetData sheetId="3231"/>
      <sheetData sheetId="3232" refreshError="1"/>
      <sheetData sheetId="3233" refreshError="1"/>
      <sheetData sheetId="3234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/>
      <sheetData sheetId="3255">
        <row r="1">
          <cell r="A1">
            <v>0</v>
          </cell>
        </row>
      </sheetData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>
        <row r="3">
          <cell r="C3" t="str">
            <v>Benoit BOUANCHAUD</v>
          </cell>
        </row>
      </sheetData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/>
      <sheetData sheetId="3392"/>
      <sheetData sheetId="3393"/>
      <sheetData sheetId="3394"/>
      <sheetData sheetId="3395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/>
      <sheetData sheetId="3456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/>
      <sheetData sheetId="3678"/>
      <sheetData sheetId="3679"/>
      <sheetData sheetId="3680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AKUN"/>
      <sheetName val="TRANSAKSI"/>
      <sheetName val="BUKU BESAR"/>
      <sheetName val="NERACA"/>
      <sheetName val="LABA (RUGI)"/>
      <sheetName val="BQ-E20-02(Rp)"/>
    </sheetNames>
    <sheetDataSet>
      <sheetData sheetId="0" refreshError="1"/>
      <sheetData sheetId="1" refreshError="1">
        <row r="13">
          <cell r="D13" t="str">
            <v>2013</v>
          </cell>
          <cell r="E13" t="str">
            <v>Bank Bukopin</v>
          </cell>
          <cell r="F13">
            <v>15000000</v>
          </cell>
          <cell r="K13" t="str">
            <v>2013  Bank Bukopin</v>
          </cell>
        </row>
        <row r="14">
          <cell r="D14">
            <v>7111</v>
          </cell>
          <cell r="E14" t="str">
            <v>Harga Perolehan</v>
          </cell>
          <cell r="F14">
            <v>0</v>
          </cell>
          <cell r="K14" t="str">
            <v>7111  Harga Perolehan</v>
          </cell>
        </row>
        <row r="15">
          <cell r="D15">
            <v>7112</v>
          </cell>
          <cell r="E15" t="str">
            <v>Biaya Angkut</v>
          </cell>
          <cell r="F15">
            <v>0</v>
          </cell>
          <cell r="K15" t="str">
            <v>7112  Biaya Angkut</v>
          </cell>
        </row>
        <row r="16">
          <cell r="D16">
            <v>7113</v>
          </cell>
          <cell r="E16" t="str">
            <v>Biaya Lain</v>
          </cell>
          <cell r="F16">
            <v>0</v>
          </cell>
          <cell r="K16" t="str">
            <v>7113  Biaya Lain</v>
          </cell>
        </row>
        <row r="17">
          <cell r="D17">
            <v>7121</v>
          </cell>
          <cell r="E17" t="str">
            <v>Biaya Pemborong Upah</v>
          </cell>
          <cell r="F17">
            <v>0</v>
          </cell>
          <cell r="K17" t="str">
            <v>7121  Biaya Pemborong Upah</v>
          </cell>
        </row>
        <row r="18">
          <cell r="D18">
            <v>7122</v>
          </cell>
          <cell r="E18" t="str">
            <v>Biaya Upah Harian</v>
          </cell>
          <cell r="F18">
            <v>0</v>
          </cell>
          <cell r="K18" t="str">
            <v>7122  Biaya Upah Harian</v>
          </cell>
        </row>
        <row r="19">
          <cell r="D19">
            <v>7123</v>
          </cell>
          <cell r="E19" t="str">
            <v>Biaya Upah Operator, Sopir &amp; Mekanik</v>
          </cell>
          <cell r="F19">
            <v>0</v>
          </cell>
          <cell r="K19" t="str">
            <v>7123  Biaya Upah Operator, Sopir &amp; Mekanik</v>
          </cell>
        </row>
        <row r="20">
          <cell r="D20">
            <v>7124</v>
          </cell>
          <cell r="E20" t="str">
            <v>Biaya Pegawai Kontrak</v>
          </cell>
          <cell r="F20">
            <v>0</v>
          </cell>
          <cell r="K20" t="str">
            <v>7124  Biaya Pegawai Kontrak</v>
          </cell>
        </row>
        <row r="21">
          <cell r="D21">
            <v>7130</v>
          </cell>
          <cell r="E21" t="str">
            <v>Biaya Mobilisasi/Demobilisasi</v>
          </cell>
          <cell r="F21">
            <v>0</v>
          </cell>
          <cell r="K21" t="str">
            <v>7130  Biaya Mobilisasi/Demobilisasi</v>
          </cell>
        </row>
        <row r="22">
          <cell r="D22">
            <v>7131</v>
          </cell>
          <cell r="E22" t="str">
            <v>Biaya Pajak/ Perijinan/ STNK</v>
          </cell>
          <cell r="F22">
            <v>0</v>
          </cell>
          <cell r="K22" t="str">
            <v>7131  Biaya Pajak/ Perijinan/ STNK</v>
          </cell>
        </row>
        <row r="23">
          <cell r="D23">
            <v>7132</v>
          </cell>
          <cell r="E23" t="str">
            <v>Biaya Bahan Bakar &amp; Pelumas</v>
          </cell>
          <cell r="F23">
            <v>0</v>
          </cell>
          <cell r="K23" t="str">
            <v>7132  Biaya Bahan Bakar &amp; Pelumas</v>
          </cell>
        </row>
        <row r="24">
          <cell r="D24">
            <v>7133</v>
          </cell>
          <cell r="E24" t="str">
            <v>Biaya Filter, Gemuk, Ban</v>
          </cell>
          <cell r="F24">
            <v>0</v>
          </cell>
          <cell r="K24" t="str">
            <v>7133  Biaya Filter, Gemuk, Ban</v>
          </cell>
        </row>
        <row r="25">
          <cell r="D25">
            <v>7134</v>
          </cell>
          <cell r="E25" t="str">
            <v>Biaya Sewa Alat Ekstern</v>
          </cell>
          <cell r="F25">
            <v>0</v>
          </cell>
          <cell r="K25" t="str">
            <v>7134  Biaya Sewa Alat Ekstern</v>
          </cell>
        </row>
        <row r="26">
          <cell r="D26">
            <v>7135</v>
          </cell>
          <cell r="E26" t="str">
            <v>Biaya Sewa Alat Intern</v>
          </cell>
          <cell r="F26">
            <v>0</v>
          </cell>
          <cell r="K26" t="str">
            <v>7135  Biaya Sewa Alat Intern</v>
          </cell>
        </row>
        <row r="27">
          <cell r="D27">
            <v>7136</v>
          </cell>
          <cell r="E27" t="str">
            <v>Biaya Penys./Amortisasi Alat Konsumable dll</v>
          </cell>
          <cell r="F27">
            <v>0</v>
          </cell>
          <cell r="K27" t="str">
            <v>7136  Biaya Penys./Amortisasi Alat Konsumable dll</v>
          </cell>
        </row>
        <row r="28">
          <cell r="D28">
            <v>7137</v>
          </cell>
          <cell r="E28" t="str">
            <v>Biaya Penyusutan Investasi Proyek</v>
          </cell>
          <cell r="F28">
            <v>0</v>
          </cell>
          <cell r="K28" t="str">
            <v>7137  Biaya Penyusutan Investasi Proyek</v>
          </cell>
        </row>
        <row r="29">
          <cell r="D29">
            <v>7138</v>
          </cell>
          <cell r="E29" t="str">
            <v>Biaya Suku Cadang</v>
          </cell>
          <cell r="F29">
            <v>0</v>
          </cell>
          <cell r="K29" t="str">
            <v>7138  Biaya Suku Cadang</v>
          </cell>
        </row>
        <row r="30">
          <cell r="D30">
            <v>7139</v>
          </cell>
          <cell r="E30" t="str">
            <v>Biaya Repair &amp; Overhoul</v>
          </cell>
          <cell r="F30">
            <v>0</v>
          </cell>
          <cell r="K30" t="str">
            <v>7139  Biaya Repair &amp; Overhoul</v>
          </cell>
        </row>
        <row r="31">
          <cell r="D31">
            <v>7141</v>
          </cell>
          <cell r="E31" t="str">
            <v>Biaya Sub Kontraktor Ekstern</v>
          </cell>
          <cell r="F31">
            <v>0</v>
          </cell>
          <cell r="K31" t="str">
            <v>7141  Biaya Sub Kontraktor Ekstern</v>
          </cell>
        </row>
        <row r="32">
          <cell r="D32">
            <v>7142</v>
          </cell>
          <cell r="E32" t="str">
            <v>Biaya Sub Kontraktor Intern</v>
          </cell>
          <cell r="F32">
            <v>0</v>
          </cell>
          <cell r="K32" t="str">
            <v>7142  Biaya Sub Kontraktor Intern</v>
          </cell>
        </row>
        <row r="33">
          <cell r="D33">
            <v>7143</v>
          </cell>
          <cell r="E33" t="str">
            <v>Biaya Konsultan dan Perencanaan</v>
          </cell>
          <cell r="F33">
            <v>0</v>
          </cell>
          <cell r="K33" t="str">
            <v>7143  Biaya Konsultan dan Perencanaan</v>
          </cell>
        </row>
        <row r="34">
          <cell r="D34">
            <v>7151</v>
          </cell>
          <cell r="E34" t="str">
            <v>Biaya Pegawai</v>
          </cell>
          <cell r="F34">
            <v>0</v>
          </cell>
          <cell r="K34" t="str">
            <v>7151  Biaya Pegawai</v>
          </cell>
        </row>
        <row r="35">
          <cell r="D35">
            <v>7152</v>
          </cell>
          <cell r="E35" t="str">
            <v>Biaya Umum</v>
          </cell>
          <cell r="F35">
            <v>0</v>
          </cell>
          <cell r="K35" t="str">
            <v>7152  Biaya Umum</v>
          </cell>
        </row>
        <row r="36">
          <cell r="D36">
            <v>7153</v>
          </cell>
          <cell r="E36" t="str">
            <v>Biaya Pemasaran</v>
          </cell>
          <cell r="F36">
            <v>0</v>
          </cell>
          <cell r="K36" t="str">
            <v>7153  Biaya Pemasaran</v>
          </cell>
        </row>
        <row r="37">
          <cell r="D37">
            <v>7154</v>
          </cell>
          <cell r="E37" t="str">
            <v>Biaya Jamuan Relasi</v>
          </cell>
          <cell r="F37">
            <v>0</v>
          </cell>
          <cell r="K37" t="str">
            <v>7154  Biaya Jamuan Relasi</v>
          </cell>
        </row>
        <row r="38">
          <cell r="D38">
            <v>7155</v>
          </cell>
          <cell r="E38" t="str">
            <v>Biaya Laboratorium</v>
          </cell>
          <cell r="F38">
            <v>0</v>
          </cell>
          <cell r="K38" t="str">
            <v>7155  Biaya Laboratorium</v>
          </cell>
        </row>
        <row r="39">
          <cell r="D39">
            <v>7156</v>
          </cell>
          <cell r="E39" t="str">
            <v>Biaya Mobilisasi/Demobilisasi Personil</v>
          </cell>
          <cell r="F39">
            <v>0</v>
          </cell>
          <cell r="K39" t="str">
            <v>7156  Biaya Mobilisasi/Demobilisasi Personil</v>
          </cell>
        </row>
        <row r="40">
          <cell r="D40">
            <v>7157</v>
          </cell>
          <cell r="E40" t="str">
            <v>Biaya Kendaraan</v>
          </cell>
          <cell r="F40">
            <v>0</v>
          </cell>
          <cell r="K40" t="str">
            <v>7157  Biaya Kendaraan</v>
          </cell>
        </row>
        <row r="41">
          <cell r="D41">
            <v>7158</v>
          </cell>
          <cell r="E41" t="str">
            <v>Biaya Perijinan/ Persiapan</v>
          </cell>
          <cell r="F41">
            <v>0</v>
          </cell>
          <cell r="K41" t="str">
            <v>7158  Biaya Perijinan/ Persiapan</v>
          </cell>
        </row>
        <row r="42">
          <cell r="D42">
            <v>7159</v>
          </cell>
          <cell r="E42" t="str">
            <v>Biaya Asuransi/ Retribusi Proyek</v>
          </cell>
          <cell r="F42">
            <v>0</v>
          </cell>
          <cell r="K42" t="str">
            <v>7159  Biaya Asuransi/ Retribusi Proyek</v>
          </cell>
        </row>
        <row r="43">
          <cell r="D43">
            <v>7161</v>
          </cell>
          <cell r="E43" t="str">
            <v>Biaya Bunga Bank</v>
          </cell>
          <cell r="F43">
            <v>0</v>
          </cell>
          <cell r="K43" t="str">
            <v>7161  Biaya Bunga Bank</v>
          </cell>
        </row>
        <row r="44">
          <cell r="D44">
            <v>7162</v>
          </cell>
          <cell r="E44" t="str">
            <v>Biaya Bunga Kredit Non Bank</v>
          </cell>
          <cell r="F44">
            <v>0</v>
          </cell>
          <cell r="K44" t="str">
            <v>7162  Biaya Bunga Kredit Non Bank</v>
          </cell>
        </row>
        <row r="45">
          <cell r="D45" t="str">
            <v>7171</v>
          </cell>
          <cell r="E45" t="str">
            <v>Biaya Provisi Jaminan Tender</v>
          </cell>
          <cell r="F45">
            <v>0</v>
          </cell>
          <cell r="K45" t="str">
            <v>7171  Biaya Provisi Jaminan Tender</v>
          </cell>
        </row>
        <row r="46">
          <cell r="D46">
            <v>7172</v>
          </cell>
          <cell r="E46" t="str">
            <v>Biaya Provisi Jaminan Uang Muka</v>
          </cell>
          <cell r="F46">
            <v>0</v>
          </cell>
          <cell r="K46" t="str">
            <v>7172  Biaya Provisi Jaminan Uang Muka</v>
          </cell>
        </row>
        <row r="47">
          <cell r="D47">
            <v>7173</v>
          </cell>
          <cell r="E47" t="str">
            <v>Biaya Provisi Jaminan Pelaksanaan</v>
          </cell>
          <cell r="F47">
            <v>0</v>
          </cell>
          <cell r="K47" t="str">
            <v>7173  Biaya Provisi Jaminan Pelaksanaan</v>
          </cell>
        </row>
        <row r="48">
          <cell r="D48">
            <v>7174</v>
          </cell>
          <cell r="E48" t="str">
            <v>Biaya Provisi Jaminan Retensi</v>
          </cell>
          <cell r="F48">
            <v>0</v>
          </cell>
          <cell r="K48" t="str">
            <v>7174  Biaya Provisi Jaminan Retensi</v>
          </cell>
        </row>
        <row r="49">
          <cell r="D49">
            <v>7175</v>
          </cell>
          <cell r="E49" t="str">
            <v>Biaya Provisi Jaminan Lainnya</v>
          </cell>
          <cell r="F49">
            <v>0</v>
          </cell>
          <cell r="K49" t="str">
            <v>7175  Biaya Provisi Jaminan Lainnya</v>
          </cell>
        </row>
        <row r="50">
          <cell r="D50">
            <v>7181</v>
          </cell>
          <cell r="E50" t="str">
            <v>By. Penyusutan Inventaris Kantor Proyek</v>
          </cell>
          <cell r="F50">
            <v>0</v>
          </cell>
          <cell r="K50" t="str">
            <v>7181  By. Penyusutan Inventaris Kantor Proyek</v>
          </cell>
        </row>
        <row r="51">
          <cell r="D51">
            <v>7182</v>
          </cell>
          <cell r="E51" t="str">
            <v>By. Penyusutan Kendaraan/ Alat Angkut</v>
          </cell>
          <cell r="F51">
            <v>0</v>
          </cell>
          <cell r="K51" t="str">
            <v>7182  By. Penyusutan Kendaraan/ Alat Angkut</v>
          </cell>
        </row>
        <row r="52">
          <cell r="D52">
            <v>7183</v>
          </cell>
          <cell r="E52" t="str">
            <v>By. Penyusutan Alat Berat</v>
          </cell>
          <cell r="F52">
            <v>0</v>
          </cell>
          <cell r="K52" t="str">
            <v>7183  By. Penyusutan Alat Berat</v>
          </cell>
        </row>
        <row r="53">
          <cell r="D53">
            <v>7184</v>
          </cell>
          <cell r="E53" t="str">
            <v>By. Penyusutan Alat Ringan</v>
          </cell>
          <cell r="F53">
            <v>0</v>
          </cell>
          <cell r="K53" t="str">
            <v>7184  By. Penyusutan Alat Ringan</v>
          </cell>
        </row>
        <row r="54">
          <cell r="D54">
            <v>7185</v>
          </cell>
          <cell r="E54" t="str">
            <v>By. Penyusutan Peralatan Produksi (Plant)</v>
          </cell>
          <cell r="F54">
            <v>0</v>
          </cell>
          <cell r="K54" t="str">
            <v>7185  By. Penyusutan Peralatan Produksi (Plant)</v>
          </cell>
        </row>
        <row r="55">
          <cell r="D55">
            <v>7186</v>
          </cell>
          <cell r="E55" t="str">
            <v>By. Penyusutan Aktiva Sewa Guna Usaha</v>
          </cell>
          <cell r="F55">
            <v>0</v>
          </cell>
          <cell r="K55" t="str">
            <v>7186  By. Penyusutan Aktiva Sewa Guna Usaha</v>
          </cell>
        </row>
        <row r="56">
          <cell r="D56"/>
          <cell r="K56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KASUS1"/>
      <sheetName val="KASUS2"/>
      <sheetName val="KASUS3"/>
      <sheetName val="KASUS4"/>
      <sheetName val="KASUS5"/>
      <sheetName val="KASUS6"/>
      <sheetName val="KASUS7"/>
      <sheetName val="KASUS8"/>
      <sheetName val="KASUS9"/>
      <sheetName val="KASUS10"/>
      <sheetName val="KASUS11"/>
      <sheetName val="KASUS12"/>
      <sheetName val="BOOKING FORM"/>
      <sheetName val="rumus"/>
      <sheetName val="HSP(Perhitungan)"/>
      <sheetName val="AKU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5">
          <cell r="B15">
            <v>1</v>
          </cell>
          <cell r="C15">
            <v>39051</v>
          </cell>
          <cell r="D15">
            <v>30000000</v>
          </cell>
          <cell r="E15">
            <v>2000000</v>
          </cell>
          <cell r="F15">
            <v>375000</v>
          </cell>
          <cell r="G15">
            <v>2375000</v>
          </cell>
          <cell r="H15">
            <v>28000000</v>
          </cell>
        </row>
        <row r="16">
          <cell r="B16">
            <v>2</v>
          </cell>
          <cell r="C16">
            <v>39082</v>
          </cell>
          <cell r="D16">
            <v>28000000</v>
          </cell>
          <cell r="E16">
            <v>2000000</v>
          </cell>
          <cell r="F16">
            <v>350000</v>
          </cell>
          <cell r="G16">
            <v>2350000</v>
          </cell>
          <cell r="H16">
            <v>26000000</v>
          </cell>
        </row>
        <row r="17">
          <cell r="B17">
            <v>3</v>
          </cell>
          <cell r="C17">
            <v>39113</v>
          </cell>
          <cell r="D17">
            <v>26000000</v>
          </cell>
          <cell r="E17">
            <v>2000000</v>
          </cell>
          <cell r="F17">
            <v>325000</v>
          </cell>
          <cell r="G17">
            <v>2325000</v>
          </cell>
          <cell r="H17">
            <v>24000000</v>
          </cell>
        </row>
        <row r="18">
          <cell r="B18">
            <v>4</v>
          </cell>
          <cell r="C18">
            <v>39141</v>
          </cell>
          <cell r="D18">
            <v>24000000</v>
          </cell>
          <cell r="E18">
            <v>2000000</v>
          </cell>
          <cell r="F18">
            <v>300000</v>
          </cell>
          <cell r="G18">
            <v>2300000</v>
          </cell>
          <cell r="H18">
            <v>22000000</v>
          </cell>
        </row>
        <row r="19">
          <cell r="B19">
            <v>5</v>
          </cell>
          <cell r="C19">
            <v>39172</v>
          </cell>
          <cell r="D19">
            <v>22000000</v>
          </cell>
          <cell r="E19">
            <v>2000000</v>
          </cell>
          <cell r="F19">
            <v>275000</v>
          </cell>
          <cell r="G19">
            <v>2275000</v>
          </cell>
          <cell r="H19">
            <v>20000000</v>
          </cell>
        </row>
        <row r="20">
          <cell r="B20">
            <v>6</v>
          </cell>
          <cell r="C20">
            <v>39202</v>
          </cell>
          <cell r="D20">
            <v>20000000</v>
          </cell>
          <cell r="E20">
            <v>2000000</v>
          </cell>
          <cell r="F20">
            <v>250000</v>
          </cell>
          <cell r="G20">
            <v>2250000</v>
          </cell>
          <cell r="H20">
            <v>18000000</v>
          </cell>
        </row>
        <row r="21">
          <cell r="B21">
            <v>7</v>
          </cell>
          <cell r="C21">
            <v>39233</v>
          </cell>
          <cell r="D21">
            <v>18000000</v>
          </cell>
          <cell r="E21">
            <v>2000000</v>
          </cell>
          <cell r="F21">
            <v>225000</v>
          </cell>
          <cell r="G21">
            <v>2225000</v>
          </cell>
          <cell r="H21">
            <v>16000000</v>
          </cell>
        </row>
        <row r="22">
          <cell r="B22">
            <v>8</v>
          </cell>
          <cell r="C22">
            <v>39263</v>
          </cell>
          <cell r="D22">
            <v>16000000</v>
          </cell>
          <cell r="E22">
            <v>2000000</v>
          </cell>
          <cell r="F22">
            <v>200000</v>
          </cell>
          <cell r="G22">
            <v>2200000</v>
          </cell>
          <cell r="H22">
            <v>14000000</v>
          </cell>
        </row>
        <row r="23">
          <cell r="B23">
            <v>9</v>
          </cell>
          <cell r="C23">
            <v>39294</v>
          </cell>
          <cell r="D23">
            <v>14000000</v>
          </cell>
          <cell r="E23">
            <v>2000000</v>
          </cell>
          <cell r="F23">
            <v>175000</v>
          </cell>
          <cell r="G23">
            <v>2175000</v>
          </cell>
          <cell r="H23">
            <v>12000000</v>
          </cell>
        </row>
        <row r="24">
          <cell r="B24">
            <v>10</v>
          </cell>
          <cell r="C24">
            <v>39325</v>
          </cell>
          <cell r="D24">
            <v>12000000</v>
          </cell>
          <cell r="E24">
            <v>2000000</v>
          </cell>
          <cell r="F24">
            <v>150000</v>
          </cell>
          <cell r="G24">
            <v>2150000</v>
          </cell>
          <cell r="H24">
            <v>10000000</v>
          </cell>
        </row>
        <row r="25">
          <cell r="B25">
            <v>11</v>
          </cell>
          <cell r="C25">
            <v>39355</v>
          </cell>
          <cell r="D25">
            <v>10000000</v>
          </cell>
          <cell r="E25">
            <v>2000000</v>
          </cell>
          <cell r="F25">
            <v>125000</v>
          </cell>
          <cell r="G25">
            <v>2125000</v>
          </cell>
          <cell r="H25">
            <v>8000000</v>
          </cell>
        </row>
        <row r="26">
          <cell r="B26">
            <v>12</v>
          </cell>
          <cell r="C26">
            <v>39386</v>
          </cell>
          <cell r="D26">
            <v>8000000</v>
          </cell>
          <cell r="E26">
            <v>2000000</v>
          </cell>
          <cell r="F26">
            <v>100000</v>
          </cell>
          <cell r="G26">
            <v>2100000</v>
          </cell>
          <cell r="H26">
            <v>6000000</v>
          </cell>
        </row>
        <row r="27">
          <cell r="B27">
            <v>13</v>
          </cell>
          <cell r="C27">
            <v>39416</v>
          </cell>
          <cell r="D27">
            <v>6000000</v>
          </cell>
          <cell r="E27">
            <v>2000000</v>
          </cell>
          <cell r="F27">
            <v>75000</v>
          </cell>
          <cell r="G27">
            <v>2075000</v>
          </cell>
          <cell r="H27">
            <v>4000000</v>
          </cell>
        </row>
        <row r="28">
          <cell r="B28">
            <v>14</v>
          </cell>
          <cell r="C28">
            <v>39447</v>
          </cell>
          <cell r="D28">
            <v>4000000</v>
          </cell>
          <cell r="E28">
            <v>2000000</v>
          </cell>
          <cell r="F28">
            <v>50000</v>
          </cell>
          <cell r="G28">
            <v>2050000</v>
          </cell>
          <cell r="H28">
            <v>2000000</v>
          </cell>
        </row>
        <row r="29">
          <cell r="B29">
            <v>15</v>
          </cell>
          <cell r="C29">
            <v>39478</v>
          </cell>
          <cell r="D29">
            <v>2000000</v>
          </cell>
          <cell r="E29">
            <v>2000000</v>
          </cell>
          <cell r="F29">
            <v>25000</v>
          </cell>
          <cell r="G29">
            <v>2025000</v>
          </cell>
          <cell r="H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</sheetData>
      <sheetData sheetId="9" refreshError="1"/>
      <sheetData sheetId="10">
        <row r="23">
          <cell r="I23">
            <v>1</v>
          </cell>
          <cell r="J23">
            <v>1</v>
          </cell>
        </row>
        <row r="24">
          <cell r="I24">
            <v>2</v>
          </cell>
          <cell r="J24">
            <v>2</v>
          </cell>
        </row>
        <row r="25">
          <cell r="I25">
            <v>3</v>
          </cell>
          <cell r="J25">
            <v>3</v>
          </cell>
        </row>
        <row r="26">
          <cell r="I26">
            <v>4</v>
          </cell>
          <cell r="J26">
            <v>4</v>
          </cell>
        </row>
        <row r="27">
          <cell r="I27">
            <v>5</v>
          </cell>
          <cell r="J27">
            <v>5</v>
          </cell>
        </row>
        <row r="28">
          <cell r="I28">
            <v>6</v>
          </cell>
          <cell r="J28">
            <v>6</v>
          </cell>
        </row>
        <row r="29">
          <cell r="I29">
            <v>7</v>
          </cell>
          <cell r="J29">
            <v>7</v>
          </cell>
        </row>
        <row r="30">
          <cell r="I30">
            <v>8</v>
          </cell>
          <cell r="J30">
            <v>8</v>
          </cell>
        </row>
        <row r="31">
          <cell r="I31">
            <v>9</v>
          </cell>
          <cell r="J31">
            <v>9</v>
          </cell>
        </row>
        <row r="32">
          <cell r="I32">
            <v>10</v>
          </cell>
          <cell r="J32">
            <v>10</v>
          </cell>
        </row>
        <row r="33">
          <cell r="I33">
            <v>11</v>
          </cell>
          <cell r="J33">
            <v>11</v>
          </cell>
        </row>
        <row r="34">
          <cell r="I34">
            <v>12</v>
          </cell>
          <cell r="J34">
            <v>12</v>
          </cell>
        </row>
        <row r="35">
          <cell r="I35">
            <v>13</v>
          </cell>
          <cell r="J35">
            <v>13</v>
          </cell>
        </row>
        <row r="36">
          <cell r="I36">
            <v>14</v>
          </cell>
          <cell r="J36">
            <v>14</v>
          </cell>
        </row>
        <row r="37">
          <cell r="I37">
            <v>15</v>
          </cell>
          <cell r="J37">
            <v>15</v>
          </cell>
        </row>
        <row r="38">
          <cell r="I38">
            <v>16</v>
          </cell>
          <cell r="J38">
            <v>16</v>
          </cell>
        </row>
        <row r="39">
          <cell r="I39">
            <v>17</v>
          </cell>
          <cell r="J39">
            <v>17</v>
          </cell>
        </row>
        <row r="40">
          <cell r="I40">
            <v>18</v>
          </cell>
          <cell r="J40">
            <v>18</v>
          </cell>
        </row>
        <row r="41">
          <cell r="I41">
            <v>19</v>
          </cell>
          <cell r="J41">
            <v>19</v>
          </cell>
        </row>
        <row r="42">
          <cell r="I42">
            <v>20</v>
          </cell>
          <cell r="J42">
            <v>20</v>
          </cell>
        </row>
        <row r="43">
          <cell r="I43">
            <v>21</v>
          </cell>
          <cell r="J43">
            <v>21</v>
          </cell>
        </row>
        <row r="44">
          <cell r="I44">
            <v>22</v>
          </cell>
          <cell r="J44">
            <v>22</v>
          </cell>
        </row>
        <row r="45">
          <cell r="I45">
            <v>23</v>
          </cell>
          <cell r="J45">
            <v>23</v>
          </cell>
        </row>
        <row r="46">
          <cell r="I46">
            <v>24</v>
          </cell>
        </row>
        <row r="47">
          <cell r="I47">
            <v>24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M-03"/>
      <sheetName val="BBM-03 (2)"/>
    </sheetNames>
    <sheetDataSet>
      <sheetData sheetId="0">
        <row r="767">
          <cell r="B767">
            <v>739</v>
          </cell>
        </row>
        <row r="768">
          <cell r="B768">
            <v>740</v>
          </cell>
        </row>
        <row r="769">
          <cell r="B769">
            <v>741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ER5"/>
      <sheetName val="Monthly_Statements"/>
      <sheetName val="Performance_Assumptions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03"/>
      <sheetName val="OCT03"/>
      <sheetName val="SEP03"/>
      <sheetName val="AUG03"/>
      <sheetName val="MAR03"/>
      <sheetName val="DEC02"/>
      <sheetName val="NOV02"/>
      <sheetName val="OCT02"/>
      <sheetName val="SEP02"/>
      <sheetName val="AUG02"/>
      <sheetName val="Current"/>
      <sheetName val="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 PPAF K31ana Fin&amp;Acc Accounting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voice"/>
      <sheetName val="REMUNERASISTANDAR"/>
      <sheetName val="TABEL-DETASIR"/>
      <sheetName val="AKUN"/>
      <sheetName val="grafik"/>
      <sheetName val="H.Satuan"/>
      <sheetName val="Pipe"/>
      <sheetName val="input-cost"/>
      <sheetName val="Misc Rcvbl Interco"/>
    </sheetNames>
    <sheetDataSet>
      <sheetData sheetId="0">
        <row r="1">
          <cell r="A1" t="str">
            <v>InvNum</v>
          </cell>
          <cell r="B1" t="str">
            <v>Date</v>
          </cell>
          <cell r="C1" t="str">
            <v>Region</v>
          </cell>
          <cell r="D1" t="str">
            <v>SalesRep</v>
          </cell>
          <cell r="E1" t="str">
            <v>Cat</v>
          </cell>
          <cell r="F1" t="str">
            <v>Desc</v>
          </cell>
          <cell r="G1" t="str">
            <v>Unit Cost</v>
          </cell>
          <cell r="H1" t="str">
            <v>Units</v>
          </cell>
          <cell r="I1" t="str">
            <v>Total</v>
          </cell>
        </row>
        <row r="2">
          <cell r="A2">
            <v>12345</v>
          </cell>
        </row>
        <row r="3">
          <cell r="A3">
            <v>12346</v>
          </cell>
        </row>
        <row r="4">
          <cell r="A4">
            <v>12347</v>
          </cell>
        </row>
        <row r="5">
          <cell r="A5">
            <v>12348</v>
          </cell>
        </row>
        <row r="6">
          <cell r="A6">
            <v>12349</v>
          </cell>
        </row>
        <row r="7">
          <cell r="A7">
            <v>12350</v>
          </cell>
        </row>
        <row r="8">
          <cell r="A8">
            <v>12351</v>
          </cell>
        </row>
        <row r="9">
          <cell r="A9">
            <v>12352</v>
          </cell>
        </row>
        <row r="10">
          <cell r="A10">
            <v>12353</v>
          </cell>
        </row>
        <row r="11">
          <cell r="A11">
            <v>12354</v>
          </cell>
        </row>
        <row r="12">
          <cell r="A12">
            <v>12355</v>
          </cell>
        </row>
        <row r="13">
          <cell r="A13">
            <v>12356</v>
          </cell>
        </row>
        <row r="14">
          <cell r="A14">
            <v>12357</v>
          </cell>
        </row>
        <row r="15">
          <cell r="A15">
            <v>12358</v>
          </cell>
        </row>
        <row r="16">
          <cell r="A16">
            <v>12359</v>
          </cell>
        </row>
        <row r="17">
          <cell r="A17">
            <v>12360</v>
          </cell>
        </row>
        <row r="18">
          <cell r="A18">
            <v>12361</v>
          </cell>
        </row>
        <row r="19">
          <cell r="A19">
            <v>12362</v>
          </cell>
        </row>
        <row r="20">
          <cell r="A20">
            <v>12363</v>
          </cell>
        </row>
        <row r="21">
          <cell r="A21">
            <v>12364</v>
          </cell>
        </row>
        <row r="22">
          <cell r="A22">
            <v>12365</v>
          </cell>
        </row>
        <row r="23">
          <cell r="A23">
            <v>12366</v>
          </cell>
        </row>
        <row r="24">
          <cell r="A24">
            <v>12367</v>
          </cell>
        </row>
        <row r="25">
          <cell r="A25">
            <v>12368</v>
          </cell>
        </row>
        <row r="26">
          <cell r="A26">
            <v>12369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e of work"/>
      <sheetName val="Rekap"/>
      <sheetName val="BQ interior"/>
      <sheetName val="BQ ME"/>
      <sheetName val="BQ R&amp;S"/>
      <sheetName val="lampiran 1"/>
      <sheetName val="Lampiran 2"/>
      <sheetName val="Prelim"/>
      <sheetName val="Anal. baja"/>
      <sheetName val="M'trl Baja"/>
      <sheetName val="HARGA MATERIAL"/>
      <sheetName val="UPAH KERJA"/>
      <sheetName val="FINISHING"/>
      <sheetName val="STRUKTUR"/>
      <sheetName val="EXTERNAL"/>
      <sheetName val="Paint"/>
      <sheetName val="Door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2">
          <cell r="H32" t="str">
            <v>m³</v>
          </cell>
          <cell r="I32">
            <v>195000</v>
          </cell>
          <cell r="L32">
            <v>195000</v>
          </cell>
          <cell r="M32">
            <v>0</v>
          </cell>
          <cell r="O32">
            <v>195000</v>
          </cell>
          <cell r="P32">
            <v>0</v>
          </cell>
          <cell r="Q32">
            <v>36481</v>
          </cell>
          <cell r="S32" t="str">
            <v>PT Jaya Readymix</v>
          </cell>
        </row>
        <row r="33">
          <cell r="H33" t="str">
            <v>m³</v>
          </cell>
          <cell r="I33">
            <v>205000</v>
          </cell>
          <cell r="L33">
            <v>205000</v>
          </cell>
          <cell r="M33">
            <v>0</v>
          </cell>
          <cell r="O33">
            <v>205000</v>
          </cell>
          <cell r="P33">
            <v>0</v>
          </cell>
          <cell r="Q33">
            <v>36481</v>
          </cell>
          <cell r="S33" t="str">
            <v>PT Jaya Readymix</v>
          </cell>
        </row>
        <row r="34">
          <cell r="H34" t="str">
            <v>m³</v>
          </cell>
          <cell r="I34">
            <v>174000</v>
          </cell>
          <cell r="L34">
            <v>174000</v>
          </cell>
          <cell r="M34">
            <v>0</v>
          </cell>
          <cell r="O34">
            <v>174000</v>
          </cell>
          <cell r="P34">
            <v>0</v>
          </cell>
          <cell r="Q34">
            <v>36479</v>
          </cell>
          <cell r="S34" t="str">
            <v>PT Jaya Readymix</v>
          </cell>
        </row>
        <row r="35">
          <cell r="H35" t="str">
            <v>m³</v>
          </cell>
          <cell r="I35">
            <v>230000</v>
          </cell>
          <cell r="L35">
            <v>230000</v>
          </cell>
          <cell r="M35">
            <v>0</v>
          </cell>
          <cell r="O35">
            <v>230000</v>
          </cell>
          <cell r="P35">
            <v>0</v>
          </cell>
          <cell r="Q35">
            <v>36873</v>
          </cell>
          <cell r="S35" t="str">
            <v>PT Jaya Readymix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Organization Information"/>
      <sheetName val="Remuneration Data"/>
      <sheetName val="Long Term Incentives"/>
      <sheetName val="working1"/>
      <sheetName val="working2"/>
      <sheetName val="working3"/>
      <sheetName val="Lookup"/>
      <sheetName val="validation"/>
      <sheetName val="sector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I2" t="str">
            <v>Aceh</v>
          </cell>
          <cell r="L2" t="str">
            <v>Y</v>
          </cell>
        </row>
        <row r="3">
          <cell r="I3" t="str">
            <v>Bali</v>
          </cell>
          <cell r="L3" t="str">
            <v>N</v>
          </cell>
        </row>
        <row r="4">
          <cell r="I4" t="str">
            <v>Bangka-Belitung</v>
          </cell>
        </row>
        <row r="5">
          <cell r="I5" t="str">
            <v>Banten</v>
          </cell>
        </row>
        <row r="6">
          <cell r="I6" t="str">
            <v>Bengkulu</v>
          </cell>
        </row>
        <row r="7">
          <cell r="I7" t="str">
            <v>Gorontalo</v>
          </cell>
        </row>
        <row r="8">
          <cell r="I8" t="str">
            <v>Jakarta</v>
          </cell>
        </row>
        <row r="9">
          <cell r="I9" t="str">
            <v>Jakarta Raya (exclude Jakarta)</v>
          </cell>
        </row>
        <row r="10">
          <cell r="I10" t="str">
            <v>Jambi</v>
          </cell>
        </row>
        <row r="11">
          <cell r="I11" t="str">
            <v>Jawa Barat</v>
          </cell>
        </row>
        <row r="12">
          <cell r="I12" t="str">
            <v>Jawa Tengah</v>
          </cell>
        </row>
        <row r="13">
          <cell r="I13" t="str">
            <v>Jawa Timur</v>
          </cell>
        </row>
        <row r="14">
          <cell r="I14" t="str">
            <v>Kalimantan Barat</v>
          </cell>
        </row>
        <row r="15">
          <cell r="I15" t="str">
            <v>Kalimantan Selatan</v>
          </cell>
        </row>
        <row r="16">
          <cell r="I16" t="str">
            <v>Kalimantan Tengah</v>
          </cell>
        </row>
        <row r="17">
          <cell r="I17" t="str">
            <v>Kalimantan Timur</v>
          </cell>
        </row>
        <row r="18">
          <cell r="I18" t="str">
            <v>Kepulauan Riau</v>
          </cell>
        </row>
        <row r="19">
          <cell r="I19" t="str">
            <v>Lampung</v>
          </cell>
        </row>
        <row r="20">
          <cell r="I20" t="str">
            <v>Maluku</v>
          </cell>
        </row>
        <row r="21">
          <cell r="I21" t="str">
            <v>Maluku Utara</v>
          </cell>
        </row>
        <row r="22">
          <cell r="I22" t="str">
            <v>Nusa Tenggara Barat</v>
          </cell>
        </row>
        <row r="23">
          <cell r="I23" t="str">
            <v>Nusa Tenggara Timur</v>
          </cell>
        </row>
        <row r="24">
          <cell r="I24" t="str">
            <v>Papua</v>
          </cell>
        </row>
        <row r="25">
          <cell r="I25" t="str">
            <v>Papua Barat</v>
          </cell>
        </row>
        <row r="26">
          <cell r="I26" t="str">
            <v>Riau</v>
          </cell>
        </row>
        <row r="27">
          <cell r="I27" t="str">
            <v>Sulawesi Barat</v>
          </cell>
        </row>
        <row r="28">
          <cell r="I28" t="str">
            <v>Sulawesi Selatan</v>
          </cell>
        </row>
        <row r="29">
          <cell r="I29" t="str">
            <v>Sulawesi Tengah</v>
          </cell>
        </row>
        <row r="30">
          <cell r="I30" t="str">
            <v>Sulawesi Tenggara</v>
          </cell>
        </row>
        <row r="31">
          <cell r="I31" t="str">
            <v>Sulawesi Utara</v>
          </cell>
        </row>
        <row r="32">
          <cell r="I32" t="str">
            <v>Sumatera Barat</v>
          </cell>
        </row>
        <row r="33">
          <cell r="I33" t="str">
            <v>Sumatera Selatan</v>
          </cell>
        </row>
        <row r="34">
          <cell r="I34" t="str">
            <v>Sumatera Utara</v>
          </cell>
        </row>
        <row r="35">
          <cell r="I35" t="str">
            <v>Yogyakarta</v>
          </cell>
        </row>
        <row r="36">
          <cell r="I36" t="str">
            <v>Others</v>
          </cell>
        </row>
      </sheetData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FORM01"/>
      <sheetName val="FORM02"/>
      <sheetName val="FORM03"/>
      <sheetName val="FORM04"/>
      <sheetName val="FORM05"/>
      <sheetName val="FORM06"/>
      <sheetName val="FORM07"/>
      <sheetName val="FORM08"/>
      <sheetName val="FORM09"/>
      <sheetName val="FORM10"/>
      <sheetName val="SAA"/>
      <sheetName val="LATIH1"/>
      <sheetName val="Material"/>
      <sheetName val="DAF-1"/>
      <sheetName val="harsat"/>
      <sheetName val="Dashboard"/>
      <sheetName val="REKAP BQ"/>
      <sheetName val="TOWN"/>
      <sheetName val="BQ-1A"/>
      <sheetName val="H.Satuan"/>
      <sheetName val="J"/>
      <sheetName val="HRG BHN"/>
      <sheetName val="D4"/>
      <sheetName val="D6"/>
      <sheetName val="D7"/>
      <sheetName val="D8"/>
      <sheetName val="DbKtr"/>
      <sheetName val="A"/>
    </sheetNames>
    <sheetDataSet>
      <sheetData sheetId="0" refreshError="1"/>
      <sheetData sheetId="1">
        <row r="14">
          <cell r="O14">
            <v>1</v>
          </cell>
        </row>
        <row r="15">
          <cell r="O15">
            <v>2</v>
          </cell>
          <cell r="R15" t="str">
            <v>X</v>
          </cell>
        </row>
        <row r="16">
          <cell r="O16">
            <v>3</v>
          </cell>
        </row>
        <row r="17">
          <cell r="O17">
            <v>4</v>
          </cell>
        </row>
        <row r="18">
          <cell r="O18">
            <v>5</v>
          </cell>
        </row>
        <row r="19">
          <cell r="O19">
            <v>6</v>
          </cell>
        </row>
        <row r="20">
          <cell r="O20">
            <v>7</v>
          </cell>
        </row>
        <row r="21">
          <cell r="O21">
            <v>8</v>
          </cell>
        </row>
        <row r="22">
          <cell r="O22">
            <v>9</v>
          </cell>
        </row>
        <row r="23">
          <cell r="O23">
            <v>10</v>
          </cell>
        </row>
        <row r="24">
          <cell r="O24">
            <v>11</v>
          </cell>
        </row>
        <row r="25">
          <cell r="O25">
            <v>12</v>
          </cell>
        </row>
        <row r="26">
          <cell r="O26">
            <v>13</v>
          </cell>
        </row>
        <row r="27">
          <cell r="O27">
            <v>14</v>
          </cell>
        </row>
        <row r="28">
          <cell r="O28">
            <v>15</v>
          </cell>
        </row>
        <row r="29">
          <cell r="O29">
            <v>16</v>
          </cell>
        </row>
        <row r="30">
          <cell r="O30">
            <v>17</v>
          </cell>
        </row>
        <row r="31">
          <cell r="O31">
            <v>18</v>
          </cell>
        </row>
        <row r="32">
          <cell r="O32">
            <v>19</v>
          </cell>
        </row>
        <row r="33">
          <cell r="O33">
            <v>20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e of work"/>
      <sheetName val="REKAP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HARGA MATERIAL"/>
      <sheetName val="UPAH KERJA"/>
      <sheetName val="FINISHING"/>
      <sheetName val="STRUKTUR"/>
      <sheetName val="EXTERNAL"/>
      <sheetName val="Paint"/>
      <sheetName val="Pintu"/>
      <sheetName val="Door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1">
          <cell r="A11">
            <v>3</v>
          </cell>
        </row>
        <row r="12">
          <cell r="A12">
            <v>4</v>
          </cell>
        </row>
        <row r="13">
          <cell r="A13">
            <v>5</v>
          </cell>
        </row>
        <row r="16">
          <cell r="A16">
            <v>6</v>
          </cell>
        </row>
        <row r="17">
          <cell r="A17">
            <v>7</v>
          </cell>
        </row>
        <row r="18">
          <cell r="A18">
            <v>8</v>
          </cell>
        </row>
        <row r="19">
          <cell r="A19">
            <v>9</v>
          </cell>
        </row>
        <row r="20">
          <cell r="A20">
            <v>10</v>
          </cell>
        </row>
        <row r="21">
          <cell r="A21">
            <v>11</v>
          </cell>
        </row>
        <row r="23">
          <cell r="A23">
            <v>12</v>
          </cell>
        </row>
        <row r="24">
          <cell r="A24">
            <v>13</v>
          </cell>
        </row>
        <row r="26">
          <cell r="A26">
            <v>14</v>
          </cell>
        </row>
        <row r="34">
          <cell r="A34">
            <v>15</v>
          </cell>
        </row>
        <row r="37">
          <cell r="A37">
            <v>16</v>
          </cell>
        </row>
        <row r="38">
          <cell r="A38">
            <v>17</v>
          </cell>
        </row>
        <row r="39">
          <cell r="A39">
            <v>18</v>
          </cell>
        </row>
        <row r="40">
          <cell r="A40">
            <v>19</v>
          </cell>
        </row>
        <row r="41">
          <cell r="A41">
            <v>20</v>
          </cell>
        </row>
        <row r="42">
          <cell r="A42">
            <v>21</v>
          </cell>
        </row>
        <row r="43">
          <cell r="A43">
            <v>22</v>
          </cell>
        </row>
        <row r="44">
          <cell r="A44">
            <v>23</v>
          </cell>
        </row>
        <row r="45">
          <cell r="A45">
            <v>24</v>
          </cell>
        </row>
        <row r="46">
          <cell r="A46">
            <v>25</v>
          </cell>
        </row>
        <row r="47">
          <cell r="A47">
            <v>26</v>
          </cell>
        </row>
        <row r="48">
          <cell r="A48">
            <v>27</v>
          </cell>
        </row>
        <row r="51">
          <cell r="A51">
            <v>28</v>
          </cell>
        </row>
        <row r="53">
          <cell r="A53">
            <v>29</v>
          </cell>
        </row>
        <row r="54">
          <cell r="A54">
            <v>27</v>
          </cell>
        </row>
        <row r="55">
          <cell r="A55">
            <v>28</v>
          </cell>
        </row>
        <row r="56">
          <cell r="A56">
            <v>29</v>
          </cell>
        </row>
        <row r="57">
          <cell r="A57">
            <v>30</v>
          </cell>
        </row>
        <row r="58">
          <cell r="A58">
            <v>31</v>
          </cell>
        </row>
        <row r="59">
          <cell r="A59">
            <v>32</v>
          </cell>
        </row>
        <row r="60">
          <cell r="A60">
            <v>33</v>
          </cell>
        </row>
        <row r="63">
          <cell r="A63">
            <v>34</v>
          </cell>
        </row>
        <row r="64">
          <cell r="A64">
            <v>35</v>
          </cell>
        </row>
        <row r="66">
          <cell r="A66">
            <v>36</v>
          </cell>
        </row>
        <row r="68">
          <cell r="A68">
            <v>36</v>
          </cell>
        </row>
        <row r="69">
          <cell r="A69">
            <v>37</v>
          </cell>
        </row>
        <row r="70">
          <cell r="A70">
            <v>38</v>
          </cell>
        </row>
        <row r="71">
          <cell r="A71">
            <v>39</v>
          </cell>
        </row>
        <row r="72">
          <cell r="A72">
            <v>40</v>
          </cell>
        </row>
        <row r="73">
          <cell r="A73">
            <v>41</v>
          </cell>
        </row>
        <row r="77">
          <cell r="A77">
            <v>42</v>
          </cell>
        </row>
        <row r="80">
          <cell r="A80">
            <v>43</v>
          </cell>
        </row>
        <row r="82">
          <cell r="A82">
            <v>44</v>
          </cell>
        </row>
        <row r="83">
          <cell r="A83">
            <v>45</v>
          </cell>
        </row>
        <row r="85">
          <cell r="A85">
            <v>46</v>
          </cell>
        </row>
        <row r="86">
          <cell r="A86">
            <v>47</v>
          </cell>
        </row>
        <row r="87">
          <cell r="A87">
            <v>48</v>
          </cell>
        </row>
        <row r="88">
          <cell r="A88">
            <v>49</v>
          </cell>
        </row>
        <row r="89">
          <cell r="A89">
            <v>50</v>
          </cell>
        </row>
        <row r="90">
          <cell r="A90">
            <v>51</v>
          </cell>
        </row>
        <row r="97">
          <cell r="A97">
            <v>52</v>
          </cell>
        </row>
        <row r="106">
          <cell r="A106">
            <v>53</v>
          </cell>
        </row>
        <row r="115">
          <cell r="A115">
            <v>54</v>
          </cell>
        </row>
        <row r="120">
          <cell r="A120">
            <v>55</v>
          </cell>
        </row>
        <row r="122">
          <cell r="A122">
            <v>56</v>
          </cell>
        </row>
        <row r="123">
          <cell r="A123">
            <v>57</v>
          </cell>
        </row>
        <row r="124">
          <cell r="A124">
            <v>58</v>
          </cell>
        </row>
        <row r="125">
          <cell r="A125">
            <v>59</v>
          </cell>
        </row>
        <row r="126">
          <cell r="A126">
            <v>60</v>
          </cell>
        </row>
        <row r="127">
          <cell r="A127">
            <v>61</v>
          </cell>
        </row>
        <row r="131">
          <cell r="A131">
            <v>62</v>
          </cell>
        </row>
        <row r="132">
          <cell r="A132">
            <v>63</v>
          </cell>
        </row>
        <row r="133">
          <cell r="A133">
            <v>64</v>
          </cell>
        </row>
        <row r="140">
          <cell r="A140">
            <v>65</v>
          </cell>
        </row>
        <row r="141">
          <cell r="A141">
            <v>66</v>
          </cell>
        </row>
        <row r="143">
          <cell r="A143">
            <v>67</v>
          </cell>
        </row>
        <row r="145">
          <cell r="A145">
            <v>68</v>
          </cell>
        </row>
        <row r="148">
          <cell r="A148">
            <v>69</v>
          </cell>
        </row>
        <row r="151">
          <cell r="A151">
            <v>70</v>
          </cell>
        </row>
        <row r="152">
          <cell r="A152">
            <v>71</v>
          </cell>
        </row>
        <row r="153">
          <cell r="A153">
            <v>72</v>
          </cell>
        </row>
        <row r="154">
          <cell r="A154">
            <v>73</v>
          </cell>
        </row>
        <row r="155">
          <cell r="A155">
            <v>74</v>
          </cell>
        </row>
        <row r="156">
          <cell r="A156">
            <v>75</v>
          </cell>
        </row>
        <row r="157">
          <cell r="A157">
            <v>76</v>
          </cell>
        </row>
        <row r="158">
          <cell r="A158">
            <v>77</v>
          </cell>
        </row>
        <row r="159">
          <cell r="A159">
            <v>78</v>
          </cell>
        </row>
        <row r="160">
          <cell r="A160">
            <v>79</v>
          </cell>
        </row>
        <row r="161">
          <cell r="A161">
            <v>80</v>
          </cell>
        </row>
        <row r="162">
          <cell r="A162">
            <v>81</v>
          </cell>
        </row>
        <row r="163">
          <cell r="A163">
            <v>82</v>
          </cell>
        </row>
        <row r="176">
          <cell r="A176">
            <v>82</v>
          </cell>
        </row>
        <row r="177">
          <cell r="A177">
            <v>83</v>
          </cell>
        </row>
        <row r="186">
          <cell r="A186">
            <v>84</v>
          </cell>
        </row>
        <row r="187">
          <cell r="A187">
            <v>85</v>
          </cell>
        </row>
        <row r="188">
          <cell r="A188">
            <v>86</v>
          </cell>
        </row>
        <row r="189">
          <cell r="A189">
            <v>87</v>
          </cell>
        </row>
        <row r="190">
          <cell r="A190">
            <v>88</v>
          </cell>
        </row>
        <row r="191">
          <cell r="A191">
            <v>89</v>
          </cell>
        </row>
        <row r="192">
          <cell r="A192">
            <v>90</v>
          </cell>
        </row>
        <row r="193">
          <cell r="A193">
            <v>91</v>
          </cell>
        </row>
        <row r="194">
          <cell r="A194">
            <v>92</v>
          </cell>
        </row>
        <row r="195">
          <cell r="A195">
            <v>93</v>
          </cell>
        </row>
        <row r="196">
          <cell r="A196">
            <v>94</v>
          </cell>
        </row>
        <row r="197">
          <cell r="A197">
            <v>95</v>
          </cell>
        </row>
        <row r="198">
          <cell r="A198">
            <v>96</v>
          </cell>
        </row>
        <row r="199">
          <cell r="A199">
            <v>97</v>
          </cell>
        </row>
        <row r="200">
          <cell r="A200">
            <v>98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KASUS1"/>
      <sheetName val="LATIH1"/>
      <sheetName val="KASUS2"/>
      <sheetName val="LATIH2"/>
      <sheetName val="KASUS3"/>
      <sheetName val="LATIH3"/>
      <sheetName val="KASUS4"/>
      <sheetName val="LATIH4"/>
      <sheetName val="ANGGARAN"/>
      <sheetName val="Paint Type B"/>
      <sheetName val="PRINT OUT"/>
      <sheetName val="AKUN"/>
      <sheetName val="Material"/>
      <sheetName val="As"/>
      <sheetName val="g. CAPEX"/>
      <sheetName val="FORM01"/>
    </sheetNames>
    <sheetDataSet>
      <sheetData sheetId="0" refreshError="1"/>
      <sheetData sheetId="1" refreshError="1"/>
      <sheetData sheetId="2">
        <row r="6">
          <cell r="J6" t="str">
            <v>K/-</v>
          </cell>
          <cell r="K6">
            <v>13200000</v>
          </cell>
          <cell r="L6">
            <v>0</v>
          </cell>
          <cell r="M6">
            <v>1200000</v>
          </cell>
          <cell r="N6">
            <v>0</v>
          </cell>
          <cell r="O6">
            <v>14400000</v>
          </cell>
        </row>
        <row r="7">
          <cell r="J7" t="str">
            <v>K/1</v>
          </cell>
          <cell r="K7">
            <v>13200000</v>
          </cell>
          <cell r="L7">
            <v>0</v>
          </cell>
          <cell r="M7">
            <v>1200000</v>
          </cell>
          <cell r="N7">
            <v>1200000</v>
          </cell>
          <cell r="O7">
            <v>15600000</v>
          </cell>
        </row>
        <row r="8">
          <cell r="J8" t="str">
            <v>K/2</v>
          </cell>
          <cell r="K8">
            <v>13200000</v>
          </cell>
          <cell r="L8">
            <v>0</v>
          </cell>
          <cell r="M8">
            <v>1200000</v>
          </cell>
          <cell r="N8">
            <v>2400000</v>
          </cell>
          <cell r="O8">
            <v>16800000</v>
          </cell>
        </row>
        <row r="9">
          <cell r="J9" t="str">
            <v>K/3</v>
          </cell>
          <cell r="K9">
            <v>13200000</v>
          </cell>
          <cell r="L9">
            <v>0</v>
          </cell>
          <cell r="M9">
            <v>1200000</v>
          </cell>
          <cell r="N9">
            <v>3600000</v>
          </cell>
          <cell r="O9">
            <v>18000000</v>
          </cell>
        </row>
        <row r="10">
          <cell r="J10" t="str">
            <v>K/I/1</v>
          </cell>
          <cell r="K10">
            <v>13200000</v>
          </cell>
          <cell r="L10">
            <v>13200000</v>
          </cell>
          <cell r="M10">
            <v>1200000</v>
          </cell>
          <cell r="N10">
            <v>1200000</v>
          </cell>
          <cell r="O10">
            <v>28800000</v>
          </cell>
        </row>
        <row r="11">
          <cell r="J11" t="str">
            <v>K/I/2</v>
          </cell>
          <cell r="K11">
            <v>13200000</v>
          </cell>
          <cell r="L11">
            <v>13200000</v>
          </cell>
          <cell r="M11">
            <v>1200000</v>
          </cell>
          <cell r="N11">
            <v>2400000</v>
          </cell>
          <cell r="O11">
            <v>30000000</v>
          </cell>
        </row>
        <row r="12">
          <cell r="J12" t="str">
            <v>K/I/3</v>
          </cell>
          <cell r="K12">
            <v>13200000</v>
          </cell>
          <cell r="L12">
            <v>13200000</v>
          </cell>
          <cell r="M12">
            <v>1200000</v>
          </cell>
          <cell r="N12">
            <v>3600000</v>
          </cell>
          <cell r="O12">
            <v>31200000</v>
          </cell>
        </row>
        <row r="13">
          <cell r="J13" t="str">
            <v>TK/-</v>
          </cell>
          <cell r="K13">
            <v>13200000</v>
          </cell>
          <cell r="L13">
            <v>0</v>
          </cell>
          <cell r="M13">
            <v>0</v>
          </cell>
          <cell r="N13">
            <v>0</v>
          </cell>
          <cell r="O13">
            <v>13200000</v>
          </cell>
        </row>
        <row r="14">
          <cell r="J14" t="str">
            <v>TK/1</v>
          </cell>
          <cell r="K14">
            <v>13200000</v>
          </cell>
          <cell r="L14">
            <v>0</v>
          </cell>
          <cell r="M14">
            <v>0</v>
          </cell>
          <cell r="N14">
            <v>1200000</v>
          </cell>
          <cell r="O14">
            <v>14400000</v>
          </cell>
        </row>
        <row r="15">
          <cell r="J15" t="str">
            <v>TK/2</v>
          </cell>
          <cell r="K15">
            <v>13200000</v>
          </cell>
          <cell r="L15">
            <v>0</v>
          </cell>
          <cell r="M15">
            <v>0</v>
          </cell>
          <cell r="N15">
            <v>2400000</v>
          </cell>
          <cell r="O15">
            <v>15600000</v>
          </cell>
        </row>
        <row r="16">
          <cell r="J16" t="str">
            <v>TK/3</v>
          </cell>
          <cell r="K16">
            <v>13200000</v>
          </cell>
          <cell r="L16">
            <v>0</v>
          </cell>
          <cell r="M16">
            <v>0</v>
          </cell>
          <cell r="N16">
            <v>3600000</v>
          </cell>
          <cell r="O16">
            <v>16800000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praswil lengkap p bakti t"/>
      <sheetName val="BAHAN DAN UPAH sperti bank"/>
      <sheetName val="analis"/>
      <sheetName val="KANTOR PEMDA"/>
      <sheetName val="ANALISA"/>
      <sheetName val="BAHAN UPAH"/>
      <sheetName val="RAB PEMDA"/>
      <sheetName val="RAB DIPONEGORO"/>
      <sheetName val="RAB ITWIL"/>
      <sheetName val="DAPUR+DOORLOOP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AT"/>
      <sheetName val="Lingkup Pekerjaan"/>
      <sheetName val="Rekap"/>
      <sheetName val="Pek.persiapan"/>
      <sheetName val="RAB"/>
      <sheetName val="Preliminary"/>
      <sheetName val="anal.baja"/>
      <sheetName val="m'trl baja"/>
      <sheetName val="HARGA MATERIAL"/>
      <sheetName val="UPAH KERJA"/>
      <sheetName val="STRUKTUR"/>
      <sheetName val="FINISHING"/>
      <sheetName val="EXTERNA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A11">
            <v>3</v>
          </cell>
        </row>
        <row r="12">
          <cell r="A12">
            <v>4</v>
          </cell>
        </row>
        <row r="13">
          <cell r="A13">
            <v>5</v>
          </cell>
        </row>
        <row r="16">
          <cell r="A16">
            <v>6</v>
          </cell>
        </row>
        <row r="17">
          <cell r="A17">
            <v>7</v>
          </cell>
        </row>
        <row r="18">
          <cell r="A18">
            <v>8</v>
          </cell>
        </row>
        <row r="19">
          <cell r="A19">
            <v>9</v>
          </cell>
        </row>
        <row r="20">
          <cell r="A20">
            <v>10</v>
          </cell>
        </row>
        <row r="21">
          <cell r="A21">
            <v>11</v>
          </cell>
        </row>
        <row r="23">
          <cell r="A23">
            <v>12</v>
          </cell>
        </row>
        <row r="24">
          <cell r="A24">
            <v>13</v>
          </cell>
        </row>
        <row r="26">
          <cell r="A26">
            <v>14</v>
          </cell>
        </row>
        <row r="27">
          <cell r="E27" t="str">
            <v>K 150</v>
          </cell>
        </row>
        <row r="28">
          <cell r="E28" t="str">
            <v>K 175</v>
          </cell>
        </row>
        <row r="29">
          <cell r="E29" t="str">
            <v>K 200</v>
          </cell>
        </row>
        <row r="30">
          <cell r="E30" t="str">
            <v>K 225</v>
          </cell>
        </row>
        <row r="31">
          <cell r="E31" t="str">
            <v>K 250</v>
          </cell>
        </row>
        <row r="32">
          <cell r="E32" t="str">
            <v>K 275</v>
          </cell>
        </row>
        <row r="33">
          <cell r="E33" t="str">
            <v>K 400</v>
          </cell>
        </row>
        <row r="34">
          <cell r="A34">
            <v>15</v>
          </cell>
        </row>
        <row r="37">
          <cell r="A37">
            <v>16</v>
          </cell>
        </row>
        <row r="47">
          <cell r="A47">
            <v>17</v>
          </cell>
        </row>
        <row r="48">
          <cell r="A48">
            <v>18</v>
          </cell>
        </row>
        <row r="49">
          <cell r="A49">
            <v>19</v>
          </cell>
        </row>
        <row r="50">
          <cell r="A50">
            <v>20</v>
          </cell>
        </row>
        <row r="51">
          <cell r="A51">
            <v>21</v>
          </cell>
        </row>
        <row r="52">
          <cell r="A52">
            <v>22</v>
          </cell>
        </row>
        <row r="53">
          <cell r="A53">
            <v>23</v>
          </cell>
        </row>
        <row r="54">
          <cell r="A54">
            <v>24</v>
          </cell>
        </row>
        <row r="55">
          <cell r="A55">
            <v>25</v>
          </cell>
        </row>
        <row r="56">
          <cell r="A56">
            <v>25</v>
          </cell>
        </row>
        <row r="57">
          <cell r="A57">
            <v>26</v>
          </cell>
        </row>
        <row r="58">
          <cell r="A58">
            <v>27</v>
          </cell>
        </row>
        <row r="59">
          <cell r="A59">
            <v>28</v>
          </cell>
        </row>
        <row r="60">
          <cell r="A60">
            <v>29</v>
          </cell>
        </row>
        <row r="63">
          <cell r="A63">
            <v>30</v>
          </cell>
        </row>
        <row r="64">
          <cell r="A64">
            <v>28</v>
          </cell>
        </row>
        <row r="65">
          <cell r="A65">
            <v>29</v>
          </cell>
        </row>
        <row r="66">
          <cell r="A66">
            <v>30</v>
          </cell>
        </row>
        <row r="67">
          <cell r="A67">
            <v>31</v>
          </cell>
        </row>
        <row r="68">
          <cell r="A68">
            <v>32</v>
          </cell>
        </row>
        <row r="69">
          <cell r="A69">
            <v>33</v>
          </cell>
        </row>
        <row r="70">
          <cell r="A70">
            <v>34</v>
          </cell>
        </row>
        <row r="71">
          <cell r="A71">
            <v>35</v>
          </cell>
        </row>
        <row r="74">
          <cell r="A74">
            <v>35</v>
          </cell>
        </row>
        <row r="75">
          <cell r="A75">
            <v>36</v>
          </cell>
        </row>
        <row r="77">
          <cell r="A77">
            <v>37</v>
          </cell>
        </row>
        <row r="79">
          <cell r="A79">
            <v>37</v>
          </cell>
        </row>
        <row r="80">
          <cell r="A80">
            <v>38</v>
          </cell>
        </row>
        <row r="81">
          <cell r="A81">
            <v>39</v>
          </cell>
        </row>
        <row r="82">
          <cell r="A82">
            <v>40</v>
          </cell>
        </row>
        <row r="83">
          <cell r="A83">
            <v>41</v>
          </cell>
        </row>
        <row r="84">
          <cell r="A84">
            <v>42</v>
          </cell>
        </row>
        <row r="88">
          <cell r="A88">
            <v>43</v>
          </cell>
        </row>
        <row r="91">
          <cell r="A91">
            <v>44</v>
          </cell>
        </row>
        <row r="93">
          <cell r="A93">
            <v>45</v>
          </cell>
        </row>
        <row r="95">
          <cell r="A95">
            <v>46</v>
          </cell>
        </row>
        <row r="96">
          <cell r="A96">
            <v>47</v>
          </cell>
        </row>
        <row r="97">
          <cell r="A97">
            <v>48</v>
          </cell>
        </row>
        <row r="98">
          <cell r="A98">
            <v>49</v>
          </cell>
        </row>
        <row r="99">
          <cell r="A99">
            <v>50</v>
          </cell>
        </row>
        <row r="100">
          <cell r="A100">
            <v>51</v>
          </cell>
        </row>
        <row r="105">
          <cell r="A105">
            <v>52</v>
          </cell>
        </row>
        <row r="114">
          <cell r="A114">
            <v>53</v>
          </cell>
        </row>
        <row r="123">
          <cell r="A123">
            <v>54</v>
          </cell>
        </row>
        <row r="128">
          <cell r="A128">
            <v>55</v>
          </cell>
        </row>
        <row r="130">
          <cell r="A130">
            <v>56</v>
          </cell>
        </row>
        <row r="131">
          <cell r="A131">
            <v>57</v>
          </cell>
        </row>
        <row r="132">
          <cell r="A132">
            <v>58</v>
          </cell>
        </row>
        <row r="133">
          <cell r="A133">
            <v>59</v>
          </cell>
        </row>
        <row r="134">
          <cell r="A134">
            <v>60</v>
          </cell>
        </row>
        <row r="138">
          <cell r="A138">
            <v>61</v>
          </cell>
        </row>
        <row r="139">
          <cell r="A139">
            <v>62</v>
          </cell>
        </row>
        <row r="146">
          <cell r="A146">
            <v>63</v>
          </cell>
        </row>
        <row r="147">
          <cell r="A147">
            <v>64</v>
          </cell>
        </row>
        <row r="149">
          <cell r="A149">
            <v>65</v>
          </cell>
        </row>
        <row r="151">
          <cell r="A151">
            <v>66</v>
          </cell>
        </row>
        <row r="152">
          <cell r="A152">
            <v>67</v>
          </cell>
        </row>
        <row r="156">
          <cell r="A156">
            <v>68</v>
          </cell>
        </row>
        <row r="157">
          <cell r="A157">
            <v>69</v>
          </cell>
        </row>
        <row r="158">
          <cell r="A158">
            <v>70</v>
          </cell>
        </row>
        <row r="159">
          <cell r="A159">
            <v>71</v>
          </cell>
        </row>
        <row r="160">
          <cell r="A160">
            <v>72</v>
          </cell>
        </row>
        <row r="161">
          <cell r="A161">
            <v>73</v>
          </cell>
        </row>
        <row r="162">
          <cell r="A162">
            <v>74</v>
          </cell>
        </row>
        <row r="163">
          <cell r="A163">
            <v>75</v>
          </cell>
        </row>
        <row r="164">
          <cell r="A164">
            <v>76</v>
          </cell>
        </row>
        <row r="165">
          <cell r="A165">
            <v>77</v>
          </cell>
        </row>
        <row r="166">
          <cell r="A166">
            <v>78</v>
          </cell>
        </row>
        <row r="167">
          <cell r="A167">
            <v>79</v>
          </cell>
        </row>
        <row r="168">
          <cell r="A168">
            <v>80</v>
          </cell>
        </row>
        <row r="172">
          <cell r="A172">
            <v>80</v>
          </cell>
        </row>
        <row r="173">
          <cell r="A173">
            <v>81</v>
          </cell>
        </row>
        <row r="180">
          <cell r="A180">
            <v>82</v>
          </cell>
        </row>
        <row r="181">
          <cell r="A181">
            <v>83</v>
          </cell>
        </row>
        <row r="190">
          <cell r="A190">
            <v>83</v>
          </cell>
        </row>
        <row r="191">
          <cell r="A191">
            <v>84</v>
          </cell>
        </row>
        <row r="192">
          <cell r="A192">
            <v>85</v>
          </cell>
        </row>
        <row r="193">
          <cell r="A193">
            <v>86</v>
          </cell>
        </row>
        <row r="194">
          <cell r="A194">
            <v>87</v>
          </cell>
        </row>
        <row r="195">
          <cell r="A195">
            <v>88</v>
          </cell>
        </row>
        <row r="196">
          <cell r="A196">
            <v>89</v>
          </cell>
        </row>
        <row r="197">
          <cell r="A197">
            <v>90</v>
          </cell>
        </row>
        <row r="198">
          <cell r="A198">
            <v>91</v>
          </cell>
        </row>
        <row r="199">
          <cell r="A199">
            <v>92</v>
          </cell>
        </row>
        <row r="200">
          <cell r="A200">
            <v>93</v>
          </cell>
        </row>
        <row r="201">
          <cell r="A201">
            <v>94</v>
          </cell>
        </row>
        <row r="202">
          <cell r="A202">
            <v>95</v>
          </cell>
        </row>
        <row r="203">
          <cell r="A203">
            <v>96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M-03"/>
      <sheetName val="BBM-03 (2)"/>
      <sheetName val="SAA"/>
    </sheetNames>
    <sheetDataSet>
      <sheetData sheetId="0">
        <row r="767">
          <cell r="B767">
            <v>739</v>
          </cell>
        </row>
        <row r="768">
          <cell r="B768">
            <v>740</v>
          </cell>
        </row>
        <row r="769">
          <cell r="B769">
            <v>741</v>
          </cell>
        </row>
      </sheetData>
      <sheetData sheetId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GGARAN"/>
      <sheetName val="Sheet1"/>
      <sheetName val="DENDA"/>
      <sheetName val="PIUTANG1"/>
      <sheetName val="PIUTANG2"/>
      <sheetName val="PIUTANG3"/>
      <sheetName val="HUTANG"/>
      <sheetName val="HANDPHONE-1"/>
      <sheetName val="HANDPHONE-2"/>
      <sheetName val="DATA"/>
      <sheetName val="KARYAWAN"/>
      <sheetName val="FREKUENSI"/>
      <sheetName val="PRODUK"/>
      <sheetName val="MARJIN"/>
      <sheetName val="BEP-G"/>
      <sheetName val="BEP-S"/>
      <sheetName val="SK1226"/>
      <sheetName val="SK1227"/>
      <sheetName val="Py.Schedule"/>
      <sheetName val="MASTER"/>
      <sheetName val="Sumda1"/>
      <sheetName val="CF-hot"/>
      <sheetName val="fin pro centers"/>
      <sheetName val="AKUN"/>
      <sheetName val="ARP 10 2 BUL"/>
      <sheetName val="FORM01"/>
      <sheetName val="KODE AKUN"/>
      <sheetName val="Inv.proyek "/>
      <sheetName val="TOWN"/>
      <sheetName val="Markup"/>
      <sheetName val="DETAIL POS 123"/>
    </sheetNames>
    <sheetDataSet>
      <sheetData sheetId="0">
        <row r="30">
          <cell r="C30" t="str">
            <v>Agustus 2000</v>
          </cell>
          <cell r="D30">
            <v>36739</v>
          </cell>
        </row>
        <row r="31">
          <cell r="C31" t="str">
            <v>Agustus 2001</v>
          </cell>
          <cell r="D31">
            <v>37104</v>
          </cell>
        </row>
        <row r="32">
          <cell r="C32" t="str">
            <v>April 2000</v>
          </cell>
          <cell r="D32">
            <v>36617</v>
          </cell>
        </row>
        <row r="33">
          <cell r="C33" t="str">
            <v>April 2001</v>
          </cell>
          <cell r="D33">
            <v>36982</v>
          </cell>
        </row>
        <row r="34">
          <cell r="C34" t="str">
            <v>Desember 2000</v>
          </cell>
          <cell r="D34">
            <v>36861</v>
          </cell>
        </row>
        <row r="35">
          <cell r="C35" t="str">
            <v>Desember 2001</v>
          </cell>
          <cell r="D35">
            <v>37226</v>
          </cell>
        </row>
        <row r="36">
          <cell r="C36" t="str">
            <v>Februari 2000</v>
          </cell>
          <cell r="D36">
            <v>36557</v>
          </cell>
        </row>
        <row r="37">
          <cell r="C37" t="str">
            <v>Februari 2001</v>
          </cell>
          <cell r="D37">
            <v>36923</v>
          </cell>
        </row>
        <row r="38">
          <cell r="C38" t="str">
            <v>Januari 2000</v>
          </cell>
          <cell r="D38">
            <v>36526</v>
          </cell>
        </row>
        <row r="39">
          <cell r="C39" t="str">
            <v>Januari 2001</v>
          </cell>
          <cell r="D39">
            <v>36892</v>
          </cell>
        </row>
        <row r="40">
          <cell r="C40" t="str">
            <v>Juli 2000</v>
          </cell>
          <cell r="D40">
            <v>36708</v>
          </cell>
        </row>
        <row r="41">
          <cell r="C41" t="str">
            <v>Juli 2001</v>
          </cell>
          <cell r="D41">
            <v>37073</v>
          </cell>
        </row>
        <row r="42">
          <cell r="C42" t="str">
            <v>Juni 2000</v>
          </cell>
          <cell r="D42">
            <v>36678</v>
          </cell>
        </row>
        <row r="43">
          <cell r="C43" t="str">
            <v>Juni 2001</v>
          </cell>
          <cell r="D43">
            <v>37043</v>
          </cell>
        </row>
        <row r="44">
          <cell r="C44" t="str">
            <v>Maret 2000</v>
          </cell>
          <cell r="D44">
            <v>36586</v>
          </cell>
        </row>
        <row r="45">
          <cell r="C45" t="str">
            <v>Maret 2001</v>
          </cell>
          <cell r="D45">
            <v>36951</v>
          </cell>
        </row>
        <row r="46">
          <cell r="C46" t="str">
            <v>Mei 2000</v>
          </cell>
          <cell r="D46">
            <v>36647</v>
          </cell>
        </row>
        <row r="47">
          <cell r="C47" t="str">
            <v>Mei 2001</v>
          </cell>
          <cell r="D47">
            <v>37012</v>
          </cell>
        </row>
        <row r="48">
          <cell r="C48" t="str">
            <v>November 2000</v>
          </cell>
          <cell r="D48">
            <v>36831</v>
          </cell>
        </row>
        <row r="49">
          <cell r="C49" t="str">
            <v>November 2001</v>
          </cell>
          <cell r="D49">
            <v>37196</v>
          </cell>
        </row>
        <row r="50">
          <cell r="C50" t="str">
            <v>Oktober 2000</v>
          </cell>
          <cell r="D50">
            <v>36800</v>
          </cell>
        </row>
        <row r="51">
          <cell r="C51" t="str">
            <v>Oktober 2001</v>
          </cell>
          <cell r="D51">
            <v>37165</v>
          </cell>
        </row>
        <row r="52">
          <cell r="C52" t="str">
            <v>September 2000</v>
          </cell>
          <cell r="D52">
            <v>36770</v>
          </cell>
        </row>
        <row r="53">
          <cell r="C53" t="str">
            <v>September 2001</v>
          </cell>
          <cell r="D53">
            <v>37135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rekap thr"/>
      <sheetName val="PTKP"/>
      <sheetName val="Kantor Pusat"/>
      <sheetName val="Apartemen"/>
      <sheetName val="Cempaka Jaya"/>
      <sheetName val="C'One C-Pth"/>
      <sheetName val="C'One Plaza+Arcici"/>
      <sheetName val="C'One PLm"/>
      <sheetName val="Jaya Raya"/>
      <sheetName val="Grand Cempaka "/>
      <sheetName val="Sheet1"/>
      <sheetName val="KRY"/>
      <sheetName val="KRY (2)"/>
      <sheetName val="Kry 4"/>
      <sheetName val="Kary 5"/>
      <sheetName val="Pihak Lain"/>
      <sheetName val="Pajak GCB"/>
      <sheetName val="Ciza"/>
      <sheetName val="Sunter"/>
      <sheetName val="UCCP"/>
      <sheetName val="PLP"/>
      <sheetName val="GCR"/>
      <sheetName val="UCPL"/>
      <sheetName val="GC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A1" t="str">
            <v>Serv Bln April di Excel Bulan Mei</v>
          </cell>
        </row>
        <row r="2">
          <cell r="A2" t="str">
            <v>A MASKUR</v>
          </cell>
          <cell r="B2">
            <v>337652.26158878504</v>
          </cell>
          <cell r="C2">
            <v>16000</v>
          </cell>
        </row>
        <row r="3">
          <cell r="A3" t="str">
            <v>A SONARI</v>
          </cell>
          <cell r="B3">
            <v>337652.26158878504</v>
          </cell>
          <cell r="C3">
            <v>16000</v>
          </cell>
        </row>
        <row r="4">
          <cell r="A4" t="str">
            <v>ABDUL AZIZ</v>
          </cell>
          <cell r="B4">
            <v>337652.26158878504</v>
          </cell>
          <cell r="C4">
            <v>16000</v>
          </cell>
        </row>
        <row r="5">
          <cell r="A5" t="str">
            <v>AGUN SAPUTRA</v>
          </cell>
          <cell r="B5">
            <v>337652.26158878504</v>
          </cell>
          <cell r="C5">
            <v>16000</v>
          </cell>
        </row>
        <row r="6">
          <cell r="A6" t="str">
            <v>AGUNG SAPUTRO, Amd</v>
          </cell>
          <cell r="B6">
            <v>337652.26158878504</v>
          </cell>
          <cell r="C6">
            <v>16100</v>
          </cell>
        </row>
        <row r="7">
          <cell r="A7" t="str">
            <v>AGUS GATOT P</v>
          </cell>
          <cell r="B7">
            <v>0</v>
          </cell>
          <cell r="C7">
            <v>0</v>
          </cell>
        </row>
        <row r="8">
          <cell r="A8" t="str">
            <v>AGUS PUJIONO ASIH, SE</v>
          </cell>
          <cell r="B8">
            <v>337652.26158878504</v>
          </cell>
          <cell r="C8">
            <v>16100</v>
          </cell>
        </row>
        <row r="9">
          <cell r="A9" t="str">
            <v>AGUS SALIM</v>
          </cell>
          <cell r="B9">
            <v>337652.26158878504</v>
          </cell>
          <cell r="C9">
            <v>16000</v>
          </cell>
        </row>
        <row r="10">
          <cell r="A10" t="str">
            <v>AKHMAD FAUZI</v>
          </cell>
          <cell r="B10">
            <v>337652.26158878504</v>
          </cell>
          <cell r="C10">
            <v>16000</v>
          </cell>
        </row>
        <row r="11">
          <cell r="A11" t="str">
            <v>ALI</v>
          </cell>
          <cell r="B11">
            <v>337652.26158878504</v>
          </cell>
          <cell r="C11">
            <v>16000</v>
          </cell>
        </row>
        <row r="12">
          <cell r="A12" t="str">
            <v>AMIN HARYANTO, Amd</v>
          </cell>
          <cell r="B12">
            <v>337652.26158878504</v>
          </cell>
          <cell r="C12">
            <v>16000</v>
          </cell>
        </row>
        <row r="13">
          <cell r="A13" t="str">
            <v>AMIR HAMZAH, SE</v>
          </cell>
          <cell r="B13">
            <v>0</v>
          </cell>
          <cell r="C13">
            <v>0</v>
          </cell>
        </row>
        <row r="14">
          <cell r="A14" t="str">
            <v>AMIR SARJOKO</v>
          </cell>
          <cell r="B14">
            <v>337652.26158878504</v>
          </cell>
          <cell r="C14">
            <v>16100</v>
          </cell>
        </row>
        <row r="15">
          <cell r="A15" t="str">
            <v>ANDRI KURNIAWAN</v>
          </cell>
          <cell r="B15">
            <v>337652.26158878504</v>
          </cell>
          <cell r="C15">
            <v>16100</v>
          </cell>
        </row>
        <row r="16">
          <cell r="A16" t="str">
            <v>ANDRI NURDIANSAH</v>
          </cell>
          <cell r="B16">
            <v>337652.26158878504</v>
          </cell>
          <cell r="C16">
            <v>16100</v>
          </cell>
        </row>
        <row r="17">
          <cell r="A17" t="str">
            <v>ANDRI SETIAWAN, ST</v>
          </cell>
          <cell r="B17">
            <v>337652.26158878504</v>
          </cell>
          <cell r="C17">
            <v>16100</v>
          </cell>
        </row>
        <row r="18">
          <cell r="A18" t="str">
            <v>ASEP JUMANTORO</v>
          </cell>
          <cell r="B18">
            <v>337652.26158878504</v>
          </cell>
          <cell r="C18">
            <v>16000</v>
          </cell>
        </row>
        <row r="19">
          <cell r="A19" t="str">
            <v>AZRIATI OPAVIA</v>
          </cell>
          <cell r="B19">
            <v>337652.26158878504</v>
          </cell>
          <cell r="C19">
            <v>16000</v>
          </cell>
        </row>
        <row r="20">
          <cell r="A20" t="str">
            <v>BM HARYANTO / MOH ARIYANTO</v>
          </cell>
          <cell r="B20">
            <v>337652.26158878504</v>
          </cell>
          <cell r="C20">
            <v>16000</v>
          </cell>
        </row>
        <row r="21">
          <cell r="A21" t="str">
            <v>BACHTIAR WIDODO</v>
          </cell>
          <cell r="B21">
            <v>337652.26158878504</v>
          </cell>
          <cell r="C21">
            <v>16000</v>
          </cell>
        </row>
        <row r="22">
          <cell r="A22" t="str">
            <v>BAHRUDIN</v>
          </cell>
          <cell r="B22">
            <v>303791.5</v>
          </cell>
          <cell r="C22">
            <v>14400</v>
          </cell>
        </row>
        <row r="23">
          <cell r="A23" t="str">
            <v>BAMBANG SUTISWAN</v>
          </cell>
          <cell r="B23">
            <v>337652.26158878504</v>
          </cell>
          <cell r="C23">
            <v>16100</v>
          </cell>
        </row>
        <row r="24">
          <cell r="A24" t="str">
            <v>BUDI SANTOSO</v>
          </cell>
          <cell r="B24">
            <v>337652.26158878504</v>
          </cell>
          <cell r="C24">
            <v>16000</v>
          </cell>
        </row>
        <row r="25">
          <cell r="A25" t="str">
            <v>CECE BIN OJAN</v>
          </cell>
          <cell r="B25">
            <v>337652.26158878504</v>
          </cell>
          <cell r="C25">
            <v>0</v>
          </cell>
        </row>
        <row r="26">
          <cell r="A26" t="str">
            <v>DARSONO, Amd</v>
          </cell>
          <cell r="B26">
            <v>337652.26158878504</v>
          </cell>
          <cell r="C26">
            <v>16100</v>
          </cell>
        </row>
        <row r="27">
          <cell r="A27" t="str">
            <v>DEWI PUSPITA SARI, Amd</v>
          </cell>
          <cell r="B27">
            <v>337652.26158878504</v>
          </cell>
          <cell r="C27">
            <v>16000</v>
          </cell>
        </row>
        <row r="28">
          <cell r="A28" t="str">
            <v>DIKY GUNAWAN</v>
          </cell>
          <cell r="B28">
            <v>337652.26158878504</v>
          </cell>
          <cell r="C28">
            <v>16000</v>
          </cell>
        </row>
        <row r="29">
          <cell r="A29" t="str">
            <v>DINA SEPTIANI, SE</v>
          </cell>
          <cell r="B29">
            <v>337652.26158878504</v>
          </cell>
          <cell r="C29">
            <v>50700</v>
          </cell>
        </row>
        <row r="30">
          <cell r="A30" t="str">
            <v>DJANURI</v>
          </cell>
          <cell r="B30">
            <v>337652.26158878504</v>
          </cell>
          <cell r="C30">
            <v>16000</v>
          </cell>
        </row>
        <row r="31">
          <cell r="A31" t="str">
            <v>DODI SANTOSO</v>
          </cell>
          <cell r="B31">
            <v>337652.26158878504</v>
          </cell>
          <cell r="C31">
            <v>16000</v>
          </cell>
        </row>
        <row r="32">
          <cell r="A32" t="str">
            <v>DORI TRIO PUTRA</v>
          </cell>
          <cell r="B32">
            <v>337652.26158878504</v>
          </cell>
          <cell r="C32">
            <v>16100</v>
          </cell>
        </row>
        <row r="33">
          <cell r="A33" t="str">
            <v>DWI SASONGKO, Amd</v>
          </cell>
          <cell r="B33">
            <v>337652.26158878504</v>
          </cell>
          <cell r="C33">
            <v>16000</v>
          </cell>
        </row>
        <row r="34">
          <cell r="A34" t="str">
            <v>EDI PRAYITNO, Amd</v>
          </cell>
          <cell r="B34">
            <v>337652.26158878504</v>
          </cell>
          <cell r="C34">
            <v>16000</v>
          </cell>
        </row>
        <row r="35">
          <cell r="A35" t="str">
            <v>EDI SUTARDI, SE</v>
          </cell>
          <cell r="B35">
            <v>337652.26158878504</v>
          </cell>
          <cell r="C35">
            <v>84400</v>
          </cell>
        </row>
        <row r="36">
          <cell r="A36" t="str">
            <v>EGIH GIGIH KRISTOMBI</v>
          </cell>
          <cell r="B36">
            <v>337652.26158878504</v>
          </cell>
          <cell r="C36">
            <v>16100</v>
          </cell>
        </row>
        <row r="37">
          <cell r="A37" t="str">
            <v>FEBY SUSILOWATY, Amd</v>
          </cell>
          <cell r="B37">
            <v>337652.26158878504</v>
          </cell>
          <cell r="C37">
            <v>16100</v>
          </cell>
        </row>
        <row r="38">
          <cell r="A38" t="str">
            <v>FERRY YUSUF, Amd</v>
          </cell>
          <cell r="B38">
            <v>337652.26158878504</v>
          </cell>
          <cell r="C38">
            <v>16000</v>
          </cell>
        </row>
        <row r="39">
          <cell r="A39" t="str">
            <v>FIDYANI</v>
          </cell>
          <cell r="B39">
            <v>337652.26158878504</v>
          </cell>
          <cell r="C39">
            <v>16000</v>
          </cell>
        </row>
        <row r="40">
          <cell r="A40" t="str">
            <v>FINAH</v>
          </cell>
          <cell r="B40">
            <v>337652.26158878504</v>
          </cell>
          <cell r="C40">
            <v>16100</v>
          </cell>
        </row>
        <row r="41">
          <cell r="A41" t="str">
            <v>GUSFIYANRI</v>
          </cell>
          <cell r="B41">
            <v>337652.26158878504</v>
          </cell>
          <cell r="C41">
            <v>16000</v>
          </cell>
        </row>
        <row r="42">
          <cell r="A42" t="str">
            <v>HADI PURWO</v>
          </cell>
          <cell r="B42">
            <v>337652.26158878504</v>
          </cell>
          <cell r="C42">
            <v>16000</v>
          </cell>
        </row>
        <row r="43">
          <cell r="A43" t="str">
            <v>HAIRUDDIN MASAHUDA</v>
          </cell>
          <cell r="B43">
            <v>0</v>
          </cell>
          <cell r="C43">
            <v>0</v>
          </cell>
        </row>
        <row r="44">
          <cell r="A44" t="str">
            <v>HARIS WIDIANTO</v>
          </cell>
          <cell r="B44">
            <v>337652.26158878504</v>
          </cell>
          <cell r="C44">
            <v>16000</v>
          </cell>
        </row>
        <row r="45">
          <cell r="A45" t="str">
            <v>HARRY SETYANTO PUTRO, Amd</v>
          </cell>
          <cell r="B45">
            <v>337652.26158878504</v>
          </cell>
          <cell r="C45">
            <v>16000</v>
          </cell>
        </row>
        <row r="46">
          <cell r="A46" t="str">
            <v>HEDI RIZAL</v>
          </cell>
          <cell r="B46">
            <v>337652.26158878504</v>
          </cell>
          <cell r="C46">
            <v>16000</v>
          </cell>
        </row>
        <row r="47">
          <cell r="A47" t="str">
            <v>HERU CHAERUL</v>
          </cell>
          <cell r="B47">
            <v>337652.26158878504</v>
          </cell>
          <cell r="C47">
            <v>16100</v>
          </cell>
        </row>
        <row r="48">
          <cell r="A48" t="str">
            <v>IMAM</v>
          </cell>
          <cell r="B48">
            <v>337652.26158878504</v>
          </cell>
          <cell r="C48">
            <v>16100</v>
          </cell>
        </row>
        <row r="49">
          <cell r="A49" t="str">
            <v>IRWAN HASAN</v>
          </cell>
          <cell r="B49">
            <v>337652.26158878504</v>
          </cell>
          <cell r="C49">
            <v>16000</v>
          </cell>
        </row>
        <row r="50">
          <cell r="A50" t="str">
            <v>IWAN HERMAWAN, Amd</v>
          </cell>
          <cell r="B50">
            <v>337652.26158878504</v>
          </cell>
          <cell r="C50">
            <v>16000</v>
          </cell>
        </row>
        <row r="51">
          <cell r="A51" t="str">
            <v>IWAN SUPANDI</v>
          </cell>
          <cell r="B51">
            <v>337652.26158878504</v>
          </cell>
          <cell r="C51">
            <v>16100</v>
          </cell>
        </row>
        <row r="52">
          <cell r="A52" t="str">
            <v>JAMALIDIN, Amd</v>
          </cell>
          <cell r="B52">
            <v>337652.26158878504</v>
          </cell>
          <cell r="C52">
            <v>16000</v>
          </cell>
        </row>
        <row r="53">
          <cell r="A53" t="str">
            <v>KASTOLANI</v>
          </cell>
          <cell r="B53">
            <v>337652.26158878504</v>
          </cell>
          <cell r="C53">
            <v>16000</v>
          </cell>
        </row>
        <row r="54">
          <cell r="A54" t="str">
            <v>KIJO PAMUNGKAS, SE</v>
          </cell>
          <cell r="B54">
            <v>337652.26158878504</v>
          </cell>
          <cell r="C54">
            <v>16100</v>
          </cell>
        </row>
        <row r="55">
          <cell r="A55" t="str">
            <v>KOMARUDDIN, Amd</v>
          </cell>
          <cell r="B55">
            <v>337652.26158878504</v>
          </cell>
          <cell r="C55">
            <v>16100</v>
          </cell>
        </row>
        <row r="56">
          <cell r="A56" t="str">
            <v>M NOOR</v>
          </cell>
          <cell r="B56">
            <v>337652.26158878504</v>
          </cell>
          <cell r="C56">
            <v>16000</v>
          </cell>
        </row>
        <row r="57">
          <cell r="A57" t="str">
            <v>M SOBIRIN</v>
          </cell>
          <cell r="B57">
            <v>337652.26158878504</v>
          </cell>
          <cell r="C57">
            <v>16000</v>
          </cell>
        </row>
        <row r="58">
          <cell r="A58" t="str">
            <v>M SUROSO</v>
          </cell>
          <cell r="B58">
            <v>337652.26158878504</v>
          </cell>
          <cell r="C58">
            <v>16100</v>
          </cell>
        </row>
        <row r="59">
          <cell r="A59" t="str">
            <v>M SARIPUDIN</v>
          </cell>
          <cell r="B59">
            <v>337652.26158878504</v>
          </cell>
          <cell r="C59">
            <v>16100</v>
          </cell>
        </row>
        <row r="60">
          <cell r="A60" t="str">
            <v>M TAUFIK</v>
          </cell>
          <cell r="B60">
            <v>337652.26158878504</v>
          </cell>
          <cell r="C60">
            <v>16100</v>
          </cell>
        </row>
        <row r="61">
          <cell r="A61" t="str">
            <v>MAHDI RAHMAT</v>
          </cell>
          <cell r="B61">
            <v>337652.26158878504</v>
          </cell>
          <cell r="C61">
            <v>16100</v>
          </cell>
        </row>
        <row r="62">
          <cell r="A62" t="str">
            <v>MARYONO</v>
          </cell>
          <cell r="B62">
            <v>337652.26158878504</v>
          </cell>
          <cell r="C62">
            <v>16000</v>
          </cell>
        </row>
        <row r="63">
          <cell r="A63" t="str">
            <v>MUCHAMMAD DENIRO, Amd</v>
          </cell>
          <cell r="B63">
            <v>337652.26158878504</v>
          </cell>
          <cell r="C63">
            <v>16100</v>
          </cell>
        </row>
        <row r="64">
          <cell r="A64" t="str">
            <v>MUKHLIS ARIEF</v>
          </cell>
          <cell r="B64">
            <v>337652.26158878504</v>
          </cell>
          <cell r="C64">
            <v>16000</v>
          </cell>
        </row>
        <row r="65">
          <cell r="A65" t="str">
            <v>MUKTI</v>
          </cell>
          <cell r="B65">
            <v>337652.26158878504</v>
          </cell>
          <cell r="C65">
            <v>16000</v>
          </cell>
        </row>
        <row r="66">
          <cell r="A66" t="str">
            <v>MULYA DRAJAT</v>
          </cell>
          <cell r="B66">
            <v>337652.26158878504</v>
          </cell>
          <cell r="C66">
            <v>16100</v>
          </cell>
        </row>
        <row r="67">
          <cell r="A67" t="str">
            <v>MUSRININGSIH, SE</v>
          </cell>
          <cell r="B67">
            <v>337652.26158878504</v>
          </cell>
          <cell r="C67">
            <v>16100</v>
          </cell>
        </row>
        <row r="68">
          <cell r="A68" t="str">
            <v>NARMI, SE</v>
          </cell>
          <cell r="B68">
            <v>337652.26158878504</v>
          </cell>
          <cell r="C68">
            <v>0</v>
          </cell>
        </row>
        <row r="69">
          <cell r="A69" t="str">
            <v>NURYAMIN</v>
          </cell>
          <cell r="B69">
            <v>337652.26158878504</v>
          </cell>
          <cell r="C69">
            <v>16100</v>
          </cell>
        </row>
        <row r="70">
          <cell r="A70" t="str">
            <v>PURNAMA, Amd</v>
          </cell>
          <cell r="B70">
            <v>337652.26158878504</v>
          </cell>
          <cell r="C70">
            <v>16100</v>
          </cell>
        </row>
        <row r="71">
          <cell r="A71" t="str">
            <v>RA RUDI ADJI PERMANA, Amd</v>
          </cell>
          <cell r="B71">
            <v>337652.26158878504</v>
          </cell>
          <cell r="C71">
            <v>16100</v>
          </cell>
        </row>
        <row r="72">
          <cell r="A72" t="str">
            <v>R SAID MUBAROK, SE</v>
          </cell>
          <cell r="B72">
            <v>337652.26158878504</v>
          </cell>
          <cell r="C72">
            <v>16000</v>
          </cell>
        </row>
        <row r="73">
          <cell r="A73" t="str">
            <v>RAHMAD, SE</v>
          </cell>
          <cell r="B73">
            <v>337652.26158878504</v>
          </cell>
          <cell r="C73">
            <v>16000</v>
          </cell>
        </row>
        <row r="74">
          <cell r="A74" t="str">
            <v>RINALDO</v>
          </cell>
          <cell r="B74">
            <v>337652.26158878504</v>
          </cell>
          <cell r="C74">
            <v>16000</v>
          </cell>
        </row>
        <row r="75">
          <cell r="A75" t="str">
            <v>RIO HARIS SONNY, SH</v>
          </cell>
          <cell r="B75">
            <v>337652.26158878504</v>
          </cell>
          <cell r="C75">
            <v>16000</v>
          </cell>
        </row>
        <row r="76">
          <cell r="A76" t="str">
            <v>RONY KURNIAWAN, SS</v>
          </cell>
          <cell r="B76">
            <v>337652.26158878504</v>
          </cell>
          <cell r="C76">
            <v>16000</v>
          </cell>
        </row>
        <row r="77">
          <cell r="A77" t="str">
            <v>SARJIYO, SE</v>
          </cell>
          <cell r="B77">
            <v>337652.26158878504</v>
          </cell>
          <cell r="C77">
            <v>16000</v>
          </cell>
        </row>
        <row r="78">
          <cell r="A78" t="str">
            <v>SATRIA DAUD RAHARDIPUTRA</v>
          </cell>
          <cell r="B78">
            <v>337652.26158878504</v>
          </cell>
          <cell r="C78">
            <v>16000</v>
          </cell>
        </row>
        <row r="79">
          <cell r="A79" t="str">
            <v>SISWANTORO</v>
          </cell>
          <cell r="B79">
            <v>0</v>
          </cell>
          <cell r="C79">
            <v>0</v>
          </cell>
        </row>
        <row r="80">
          <cell r="A80" t="str">
            <v>SITI ANNISA, Amd</v>
          </cell>
          <cell r="B80">
            <v>337652.26158878504</v>
          </cell>
          <cell r="C80">
            <v>16000</v>
          </cell>
        </row>
        <row r="81">
          <cell r="A81" t="str">
            <v>SOBIRIN, SE</v>
          </cell>
          <cell r="B81">
            <v>0</v>
          </cell>
          <cell r="C81">
            <v>0</v>
          </cell>
        </row>
        <row r="82">
          <cell r="A82" t="str">
            <v>SUPRIYONO, SE</v>
          </cell>
          <cell r="B82">
            <v>337652.26158878504</v>
          </cell>
          <cell r="C82">
            <v>50600</v>
          </cell>
        </row>
        <row r="83">
          <cell r="A83" t="str">
            <v>SRI MULYANI</v>
          </cell>
          <cell r="B83">
            <v>337652.26158878504</v>
          </cell>
          <cell r="C83">
            <v>16000</v>
          </cell>
        </row>
        <row r="84">
          <cell r="A84" t="str">
            <v>SUHAB</v>
          </cell>
          <cell r="B84">
            <v>326294.57158878504</v>
          </cell>
          <cell r="C84">
            <v>15500</v>
          </cell>
        </row>
        <row r="85">
          <cell r="A85" t="str">
            <v>SULARNO</v>
          </cell>
          <cell r="B85">
            <v>337652.26158878504</v>
          </cell>
          <cell r="C85">
            <v>16100</v>
          </cell>
        </row>
        <row r="86">
          <cell r="A86" t="str">
            <v>SUMO AJI, SE</v>
          </cell>
          <cell r="B86">
            <v>337652.26158878504</v>
          </cell>
          <cell r="C86">
            <v>16000</v>
          </cell>
        </row>
        <row r="87">
          <cell r="A87" t="str">
            <v>SUNARDI ARIGA</v>
          </cell>
          <cell r="B87">
            <v>0</v>
          </cell>
          <cell r="C87">
            <v>0</v>
          </cell>
        </row>
        <row r="88">
          <cell r="A88" t="str">
            <v>SUNARSO</v>
          </cell>
          <cell r="B88">
            <v>337652.26158878504</v>
          </cell>
          <cell r="C88">
            <v>16100</v>
          </cell>
        </row>
        <row r="89">
          <cell r="A89" t="str">
            <v>SUPRAPTO</v>
          </cell>
          <cell r="B89">
            <v>337652.26158878504</v>
          </cell>
          <cell r="C89">
            <v>16100</v>
          </cell>
        </row>
        <row r="90">
          <cell r="A90" t="str">
            <v>SUYATMI, SE</v>
          </cell>
          <cell r="B90">
            <v>337652.26158878504</v>
          </cell>
          <cell r="C90">
            <v>16100</v>
          </cell>
        </row>
        <row r="91">
          <cell r="A91" t="str">
            <v>SYAMSUDDIN</v>
          </cell>
          <cell r="B91">
            <v>337652.26158878504</v>
          </cell>
          <cell r="C91">
            <v>16000</v>
          </cell>
        </row>
        <row r="92">
          <cell r="A92" t="str">
            <v>SYARIFUDIN</v>
          </cell>
          <cell r="B92">
            <v>337652.26158878504</v>
          </cell>
          <cell r="C92">
            <v>16000</v>
          </cell>
        </row>
        <row r="93">
          <cell r="A93" t="str">
            <v>SYARIF KURNIAWAN, Amd</v>
          </cell>
          <cell r="B93">
            <v>337652.26158878504</v>
          </cell>
          <cell r="C93">
            <v>16000</v>
          </cell>
        </row>
        <row r="94">
          <cell r="A94" t="str">
            <v>TASOM</v>
          </cell>
          <cell r="B94">
            <v>337652.26158878504</v>
          </cell>
          <cell r="C94">
            <v>16000</v>
          </cell>
        </row>
        <row r="95">
          <cell r="A95" t="str">
            <v>TAUFIK</v>
          </cell>
          <cell r="B95">
            <v>337652.26158878504</v>
          </cell>
          <cell r="C95">
            <v>16000</v>
          </cell>
        </row>
        <row r="96">
          <cell r="A96" t="str">
            <v>TAUFIK SOLEH</v>
          </cell>
          <cell r="B96">
            <v>337652.26158878504</v>
          </cell>
          <cell r="C96">
            <v>16100</v>
          </cell>
        </row>
        <row r="97">
          <cell r="A97" t="str">
            <v>TEGUH BUDIONO</v>
          </cell>
          <cell r="B97">
            <v>337652.26158878504</v>
          </cell>
          <cell r="C97">
            <v>16000</v>
          </cell>
        </row>
        <row r="98">
          <cell r="A98" t="str">
            <v>TEGUH SANTOSO</v>
          </cell>
          <cell r="B98">
            <v>337652.26158878504</v>
          </cell>
          <cell r="C98">
            <v>16000</v>
          </cell>
        </row>
        <row r="99">
          <cell r="A99" t="str">
            <v>TRI SISWANTO, Amd</v>
          </cell>
          <cell r="B99">
            <v>337652.26158878504</v>
          </cell>
          <cell r="C99">
            <v>16000</v>
          </cell>
        </row>
        <row r="100">
          <cell r="A100" t="str">
            <v>URAY MAURITZIO, Amd</v>
          </cell>
          <cell r="B100">
            <v>337652.26158878504</v>
          </cell>
          <cell r="C100">
            <v>50600</v>
          </cell>
        </row>
        <row r="101">
          <cell r="A101" t="str">
            <v>VITRI YANTI ARYANI, SS</v>
          </cell>
          <cell r="B101">
            <v>337652.26158878504</v>
          </cell>
          <cell r="C101">
            <v>16000</v>
          </cell>
        </row>
        <row r="102">
          <cell r="A102" t="str">
            <v>WAHYUDI, SE</v>
          </cell>
          <cell r="B102">
            <v>337652.26158878504</v>
          </cell>
          <cell r="C102">
            <v>16000</v>
          </cell>
        </row>
        <row r="103">
          <cell r="A103" t="str">
            <v>WIDIAYANTO DJUNAEDI</v>
          </cell>
          <cell r="B103">
            <v>337652.26158878504</v>
          </cell>
          <cell r="C103">
            <v>16100</v>
          </cell>
        </row>
        <row r="104">
          <cell r="A104" t="str">
            <v>WISNU ERLANGGA, Amd</v>
          </cell>
          <cell r="B104">
            <v>337652.26158878504</v>
          </cell>
          <cell r="C104">
            <v>16000</v>
          </cell>
        </row>
        <row r="105">
          <cell r="A105" t="str">
            <v>WORO</v>
          </cell>
          <cell r="B105">
            <v>337652.26158878504</v>
          </cell>
          <cell r="C105">
            <v>16100</v>
          </cell>
        </row>
        <row r="106">
          <cell r="A106" t="str">
            <v>YAYUK MARTIHASTUTI, SE</v>
          </cell>
          <cell r="B106">
            <v>337652.26158878504</v>
          </cell>
          <cell r="C106">
            <v>16000</v>
          </cell>
        </row>
        <row r="107">
          <cell r="A107" t="str">
            <v>YENI NOPITA, SE</v>
          </cell>
          <cell r="B107">
            <v>337652.26158878504</v>
          </cell>
          <cell r="C107">
            <v>16000</v>
          </cell>
        </row>
        <row r="108">
          <cell r="A108" t="str">
            <v>YUDATIN PANCA K</v>
          </cell>
          <cell r="B108">
            <v>337652.26158878504</v>
          </cell>
          <cell r="C108">
            <v>16100</v>
          </cell>
        </row>
        <row r="109">
          <cell r="A109" t="str">
            <v>YUDI SENOHARTONO</v>
          </cell>
          <cell r="B109">
            <v>337652.26158878504</v>
          </cell>
          <cell r="C109">
            <v>16000</v>
          </cell>
        </row>
        <row r="110">
          <cell r="A110" t="str">
            <v>YULI PERTIWI</v>
          </cell>
          <cell r="B110">
            <v>337652.26158878504</v>
          </cell>
          <cell r="C110">
            <v>16100</v>
          </cell>
        </row>
        <row r="111">
          <cell r="A111" t="str">
            <v>YUNIAR HERAWATI GUNAWAN, SE</v>
          </cell>
          <cell r="B111">
            <v>337652.26158878504</v>
          </cell>
          <cell r="C111">
            <v>16100</v>
          </cell>
        </row>
        <row r="112">
          <cell r="A112" t="str">
            <v>YUSUF</v>
          </cell>
          <cell r="B112">
            <v>337652.26158878504</v>
          </cell>
          <cell r="C112">
            <v>16000</v>
          </cell>
        </row>
        <row r="113">
          <cell r="A113" t="str">
            <v>ZAINU DAHLAN</v>
          </cell>
          <cell r="B113">
            <v>337652.26158878504</v>
          </cell>
          <cell r="C113">
            <v>16000</v>
          </cell>
        </row>
        <row r="114">
          <cell r="A114" t="str">
            <v>LILIEK PARWANTO</v>
          </cell>
          <cell r="B114">
            <v>337652.26158878504</v>
          </cell>
          <cell r="C114">
            <v>16100</v>
          </cell>
        </row>
        <row r="115">
          <cell r="A115" t="str">
            <v>DEARNI SIDABUTAR</v>
          </cell>
          <cell r="B115">
            <v>303791.5</v>
          </cell>
          <cell r="C115">
            <v>239300</v>
          </cell>
        </row>
        <row r="116">
          <cell r="A116" t="str">
            <v>PUJO WALUYO</v>
          </cell>
          <cell r="B116">
            <v>303791.5</v>
          </cell>
          <cell r="C116">
            <v>0</v>
          </cell>
        </row>
        <row r="117">
          <cell r="A117" t="str">
            <v>ACHDYAT IMANSYAH</v>
          </cell>
          <cell r="B117">
            <v>303791.5</v>
          </cell>
          <cell r="C117">
            <v>0</v>
          </cell>
        </row>
        <row r="118">
          <cell r="A118" t="str">
            <v>BAMBANG WARYONO</v>
          </cell>
          <cell r="B118">
            <v>303791.5</v>
          </cell>
          <cell r="C118">
            <v>0</v>
          </cell>
        </row>
        <row r="119">
          <cell r="A119" t="str">
            <v>ADIT ABDUL RIZKI</v>
          </cell>
          <cell r="B119">
            <v>137071.6997326203</v>
          </cell>
          <cell r="C119">
            <v>0</v>
          </cell>
        </row>
        <row r="120">
          <cell r="A120" t="str">
            <v>AFRIANSYAH</v>
          </cell>
          <cell r="B120">
            <v>337652.26158878504</v>
          </cell>
          <cell r="C120">
            <v>0</v>
          </cell>
        </row>
        <row r="121">
          <cell r="A121" t="str">
            <v>AHMAD BAIHAKI</v>
          </cell>
          <cell r="B121">
            <v>182762.2663101604</v>
          </cell>
          <cell r="C121">
            <v>0</v>
          </cell>
        </row>
        <row r="122">
          <cell r="A122" t="str">
            <v>AHMAD FAISAL ROSADI</v>
          </cell>
          <cell r="B122">
            <v>137071.6997326203</v>
          </cell>
          <cell r="C122">
            <v>0</v>
          </cell>
        </row>
        <row r="123">
          <cell r="A123" t="str">
            <v>APIP PURNAMA GIRI</v>
          </cell>
          <cell r="B123">
            <v>18276.226631016041</v>
          </cell>
          <cell r="C123">
            <v>0</v>
          </cell>
        </row>
        <row r="124">
          <cell r="A124" t="str">
            <v>ARI NURHIDAYAT</v>
          </cell>
          <cell r="B124">
            <v>155347.92636363636</v>
          </cell>
          <cell r="C124">
            <v>0</v>
          </cell>
        </row>
        <row r="125">
          <cell r="A125" t="str">
            <v>AZANUDIN</v>
          </cell>
          <cell r="B125">
            <v>173624.1529946524</v>
          </cell>
          <cell r="C125">
            <v>0</v>
          </cell>
        </row>
        <row r="126">
          <cell r="A126" t="str">
            <v>BAYU MAULANA YUSUF</v>
          </cell>
          <cell r="B126">
            <v>137071.6997326203</v>
          </cell>
          <cell r="C126">
            <v>0</v>
          </cell>
        </row>
        <row r="127">
          <cell r="A127" t="str">
            <v>CATUR SUBUR PRIYANTO</v>
          </cell>
          <cell r="B127">
            <v>137071.6997326203</v>
          </cell>
          <cell r="C127">
            <v>0</v>
          </cell>
        </row>
        <row r="128">
          <cell r="A128" t="str">
            <v>DIMAS TUBAGUS S</v>
          </cell>
          <cell r="B128">
            <v>182762.2663101604</v>
          </cell>
          <cell r="C128">
            <v>0</v>
          </cell>
        </row>
        <row r="129">
          <cell r="A129" t="str">
            <v>EKO PRASETYO</v>
          </cell>
          <cell r="B129">
            <v>182762.2663101604</v>
          </cell>
          <cell r="C129">
            <v>0</v>
          </cell>
        </row>
        <row r="130">
          <cell r="A130" t="str">
            <v>FAJAR EKA RAMDHANI</v>
          </cell>
          <cell r="B130">
            <v>182762.2663101604</v>
          </cell>
          <cell r="C130">
            <v>0</v>
          </cell>
        </row>
        <row r="131">
          <cell r="A131" t="str">
            <v>FEBRIAN FAZAR RAMADANI</v>
          </cell>
          <cell r="B131">
            <v>164486.03967914436</v>
          </cell>
          <cell r="C131">
            <v>0</v>
          </cell>
        </row>
        <row r="132">
          <cell r="A132" t="str">
            <v>GITA SONIA</v>
          </cell>
          <cell r="B132">
            <v>0</v>
          </cell>
          <cell r="C132">
            <v>0</v>
          </cell>
        </row>
        <row r="133">
          <cell r="A133" t="str">
            <v>HARTONO</v>
          </cell>
          <cell r="B133">
            <v>164486.03967914436</v>
          </cell>
          <cell r="C133">
            <v>0</v>
          </cell>
        </row>
        <row r="134">
          <cell r="A134" t="str">
            <v>HENDRIK KHARISMA</v>
          </cell>
          <cell r="B134">
            <v>137071.6997326203</v>
          </cell>
          <cell r="C134">
            <v>0</v>
          </cell>
        </row>
        <row r="135">
          <cell r="A135" t="str">
            <v>ISNAENI KURNIA DEWI</v>
          </cell>
          <cell r="B135">
            <v>182762.2663101604</v>
          </cell>
          <cell r="C135">
            <v>0</v>
          </cell>
        </row>
        <row r="136">
          <cell r="A136" t="str">
            <v>JAMALUDIN</v>
          </cell>
          <cell r="B136">
            <v>182762.2663101604</v>
          </cell>
          <cell r="C136">
            <v>0</v>
          </cell>
        </row>
        <row r="137">
          <cell r="A137" t="str">
            <v>JIHAT</v>
          </cell>
          <cell r="B137">
            <v>9138.1133155080206</v>
          </cell>
          <cell r="C137">
            <v>0</v>
          </cell>
        </row>
        <row r="138">
          <cell r="A138" t="str">
            <v>M PHAKSI</v>
          </cell>
          <cell r="B138">
            <v>182762.2663101604</v>
          </cell>
          <cell r="C138">
            <v>0</v>
          </cell>
        </row>
        <row r="139">
          <cell r="A139" t="str">
            <v>M.AFIF FAJAR</v>
          </cell>
          <cell r="B139">
            <v>137071.6997326203</v>
          </cell>
          <cell r="C139">
            <v>0</v>
          </cell>
        </row>
        <row r="140">
          <cell r="A140" t="str">
            <v>MELVIN DESWIRA</v>
          </cell>
          <cell r="B140">
            <v>173624.1529946524</v>
          </cell>
          <cell r="C140">
            <v>0</v>
          </cell>
        </row>
        <row r="141">
          <cell r="A141" t="str">
            <v>MUHAMAD DAHLAN GUNAWAN</v>
          </cell>
          <cell r="B141">
            <v>137071.6997326203</v>
          </cell>
          <cell r="C141">
            <v>0</v>
          </cell>
        </row>
        <row r="142">
          <cell r="A142" t="str">
            <v>NAJMUDIN</v>
          </cell>
          <cell r="B142">
            <v>137071.6997326203</v>
          </cell>
          <cell r="C142">
            <v>0</v>
          </cell>
        </row>
        <row r="143">
          <cell r="A143" t="str">
            <v>NICKY SECTIO PRATAMA</v>
          </cell>
          <cell r="B143">
            <v>0</v>
          </cell>
          <cell r="C143">
            <v>0</v>
          </cell>
        </row>
        <row r="144">
          <cell r="A144" t="str">
            <v>NUGRAH APRIANTO</v>
          </cell>
          <cell r="B144">
            <v>182762.2663101604</v>
          </cell>
          <cell r="C144">
            <v>0</v>
          </cell>
        </row>
        <row r="145">
          <cell r="A145" t="str">
            <v>PARMAN</v>
          </cell>
          <cell r="B145">
            <v>182762.2663101604</v>
          </cell>
          <cell r="C145">
            <v>0</v>
          </cell>
        </row>
        <row r="146">
          <cell r="A146" t="str">
            <v>RAMDAN HAFINUDIN</v>
          </cell>
          <cell r="B146">
            <v>182762.2663101604</v>
          </cell>
          <cell r="C146">
            <v>0</v>
          </cell>
        </row>
        <row r="147">
          <cell r="A147" t="str">
            <v>RIZKI</v>
          </cell>
          <cell r="B147">
            <v>182762.2663101604</v>
          </cell>
          <cell r="C147">
            <v>0</v>
          </cell>
        </row>
        <row r="148">
          <cell r="A148" t="str">
            <v>RONIANTO</v>
          </cell>
          <cell r="B148">
            <v>127933.5864171123</v>
          </cell>
          <cell r="C148">
            <v>0</v>
          </cell>
        </row>
        <row r="149">
          <cell r="A149" t="str">
            <v>SANA BIN SARMEDI</v>
          </cell>
          <cell r="B149">
            <v>182762.2663101604</v>
          </cell>
          <cell r="C149">
            <v>0</v>
          </cell>
        </row>
        <row r="150">
          <cell r="A150" t="str">
            <v>SEPHIA TIUR HANDAYANI</v>
          </cell>
          <cell r="B150">
            <v>164486.03967914436</v>
          </cell>
          <cell r="C150">
            <v>0</v>
          </cell>
        </row>
        <row r="151">
          <cell r="A151" t="str">
            <v>SETIYO KUNCORO</v>
          </cell>
          <cell r="B151">
            <v>137071.6997326203</v>
          </cell>
          <cell r="C151">
            <v>0</v>
          </cell>
        </row>
        <row r="152">
          <cell r="A152" t="str">
            <v>SOPIANIS</v>
          </cell>
          <cell r="B152">
            <v>182762.2663101604</v>
          </cell>
          <cell r="C152">
            <v>0</v>
          </cell>
        </row>
        <row r="153">
          <cell r="A153" t="str">
            <v>SUGENG HARYANTO</v>
          </cell>
          <cell r="B153">
            <v>191900.37962566843</v>
          </cell>
          <cell r="C153">
            <v>0</v>
          </cell>
        </row>
        <row r="154">
          <cell r="A154" t="str">
            <v>SURANTO</v>
          </cell>
          <cell r="B154">
            <v>173624.1529946524</v>
          </cell>
          <cell r="C154">
            <v>0</v>
          </cell>
        </row>
        <row r="155">
          <cell r="A155" t="str">
            <v>SUSANTO</v>
          </cell>
          <cell r="B155">
            <v>182762.2663101604</v>
          </cell>
          <cell r="C155">
            <v>0</v>
          </cell>
        </row>
        <row r="156">
          <cell r="A156" t="str">
            <v>TAJUDIN</v>
          </cell>
          <cell r="B156">
            <v>182762.2663101604</v>
          </cell>
          <cell r="C156">
            <v>0</v>
          </cell>
        </row>
        <row r="157">
          <cell r="A157" t="str">
            <v>TRI IAN DONI</v>
          </cell>
          <cell r="B157">
            <v>118795.47310160426</v>
          </cell>
          <cell r="C157">
            <v>0</v>
          </cell>
        </row>
        <row r="158">
          <cell r="A158" t="str">
            <v>WAWAN KURNIAWAN</v>
          </cell>
          <cell r="B158">
            <v>137071.6997326203</v>
          </cell>
          <cell r="C158">
            <v>0</v>
          </cell>
        </row>
        <row r="159">
          <cell r="A159" t="str">
            <v>ZUL HASYIM MAULANA</v>
          </cell>
          <cell r="B159">
            <v>182762.2663101604</v>
          </cell>
          <cell r="C159">
            <v>0</v>
          </cell>
        </row>
        <row r="160">
          <cell r="A160" t="str">
            <v>ANDY FAISAL</v>
          </cell>
          <cell r="B160">
            <v>173624.1529946524</v>
          </cell>
          <cell r="C160">
            <v>0</v>
          </cell>
        </row>
        <row r="161">
          <cell r="A161" t="str">
            <v>FICKRY HERU</v>
          </cell>
          <cell r="B161">
            <v>182762.2663101604</v>
          </cell>
          <cell r="C161">
            <v>0</v>
          </cell>
        </row>
        <row r="162">
          <cell r="A162" t="str">
            <v>GITA MAULINA ANGGRAENI</v>
          </cell>
          <cell r="B162">
            <v>0</v>
          </cell>
          <cell r="C162">
            <v>0</v>
          </cell>
        </row>
        <row r="163">
          <cell r="A163" t="str">
            <v>SENDY WIJAYA</v>
          </cell>
          <cell r="B163">
            <v>137071.6997326203</v>
          </cell>
          <cell r="C163">
            <v>0</v>
          </cell>
        </row>
        <row r="164">
          <cell r="A164" t="str">
            <v>SURYA JATMIKO</v>
          </cell>
          <cell r="B164">
            <v>9138.1133155080206</v>
          </cell>
          <cell r="C164">
            <v>0</v>
          </cell>
        </row>
        <row r="165">
          <cell r="A165" t="str">
            <v>ADILA PUTRI AYUMI</v>
          </cell>
          <cell r="B165">
            <v>182762.2663101604</v>
          </cell>
          <cell r="C165">
            <v>0</v>
          </cell>
        </row>
        <row r="166">
          <cell r="A166" t="str">
            <v>UCE MAULANA</v>
          </cell>
          <cell r="B166">
            <v>182762.2663101604</v>
          </cell>
          <cell r="C166">
            <v>0</v>
          </cell>
        </row>
        <row r="167">
          <cell r="A167" t="str">
            <v>MOHAMAD SYAFI'I, SE</v>
          </cell>
          <cell r="B167">
            <v>0</v>
          </cell>
          <cell r="C167">
            <v>0</v>
          </cell>
        </row>
        <row r="168">
          <cell r="A168" t="str">
            <v>AGUS GUNAWAN</v>
          </cell>
          <cell r="B168">
            <v>0</v>
          </cell>
          <cell r="C168">
            <v>0</v>
          </cell>
        </row>
        <row r="169">
          <cell r="A169" t="str">
            <v>AYU TRI LESTARI</v>
          </cell>
          <cell r="B169">
            <v>0</v>
          </cell>
          <cell r="C169">
            <v>0</v>
          </cell>
        </row>
        <row r="170">
          <cell r="A170" t="str">
            <v>KHARISMA PURNAMA</v>
          </cell>
          <cell r="B170">
            <v>0</v>
          </cell>
          <cell r="C170">
            <v>0</v>
          </cell>
        </row>
        <row r="171">
          <cell r="A171" t="str">
            <v>MOHAMAD DENIS ILHAM</v>
          </cell>
          <cell r="B171">
            <v>0</v>
          </cell>
          <cell r="C171">
            <v>0</v>
          </cell>
        </row>
        <row r="172">
          <cell r="A172" t="str">
            <v>RIDWAN PRASETIA</v>
          </cell>
          <cell r="B172">
            <v>0</v>
          </cell>
          <cell r="C172">
            <v>0</v>
          </cell>
        </row>
        <row r="173">
          <cell r="A173" t="str">
            <v>ALDINO</v>
          </cell>
          <cell r="B173">
            <v>0</v>
          </cell>
          <cell r="C173">
            <v>0</v>
          </cell>
        </row>
        <row r="174">
          <cell r="A174" t="str">
            <v>APIP HIDAYAT</v>
          </cell>
          <cell r="B174">
            <v>0</v>
          </cell>
          <cell r="C174">
            <v>0</v>
          </cell>
        </row>
        <row r="175">
          <cell r="A175" t="str">
            <v>ARIF RAHMAN</v>
          </cell>
          <cell r="B175">
            <v>0</v>
          </cell>
          <cell r="C175">
            <v>0</v>
          </cell>
        </row>
        <row r="176">
          <cell r="A176" t="str">
            <v>DORKAS</v>
          </cell>
          <cell r="B176">
            <v>0</v>
          </cell>
          <cell r="C176">
            <v>0</v>
          </cell>
        </row>
        <row r="177">
          <cell r="A177" t="str">
            <v>ENI ROHAENI</v>
          </cell>
          <cell r="B177">
            <v>0</v>
          </cell>
          <cell r="C177">
            <v>0</v>
          </cell>
        </row>
        <row r="178">
          <cell r="A178" t="str">
            <v>MUHAMAD FIRMAN</v>
          </cell>
          <cell r="B178">
            <v>0</v>
          </cell>
          <cell r="C178">
            <v>0</v>
          </cell>
        </row>
        <row r="179">
          <cell r="A179" t="str">
            <v>NURDIN</v>
          </cell>
          <cell r="B179">
            <v>36550.453262032082</v>
          </cell>
          <cell r="C179">
            <v>0</v>
          </cell>
        </row>
        <row r="180">
          <cell r="A180" t="str">
            <v>SUGIHARTI</v>
          </cell>
          <cell r="B180">
            <v>0</v>
          </cell>
          <cell r="C180">
            <v>0</v>
          </cell>
        </row>
        <row r="181">
          <cell r="A181" t="str">
            <v>ANDHIKA ERLANDA</v>
          </cell>
          <cell r="B181">
            <v>0</v>
          </cell>
          <cell r="C181">
            <v>0</v>
          </cell>
        </row>
        <row r="182">
          <cell r="A182" t="str">
            <v>R.O. AYU RAHMAWATI, SE</v>
          </cell>
          <cell r="B182">
            <v>0</v>
          </cell>
          <cell r="C182">
            <v>0</v>
          </cell>
        </row>
        <row r="183">
          <cell r="A183" t="str">
            <v>SUPENDI, Amd</v>
          </cell>
          <cell r="B183">
            <v>0</v>
          </cell>
          <cell r="C183">
            <v>0</v>
          </cell>
        </row>
        <row r="184">
          <cell r="A184">
            <v>0</v>
          </cell>
          <cell r="B184">
            <v>0</v>
          </cell>
          <cell r="C184">
            <v>0</v>
          </cell>
        </row>
        <row r="185">
          <cell r="A185" t="str">
            <v>TOTAL</v>
          </cell>
          <cell r="B185">
            <v>44471698.560000129</v>
          </cell>
          <cell r="C185">
            <v>2093300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Assumption"/>
      <sheetName val="Revmari"/>
      <sheetName val="Commsize"/>
      <sheetName val="Fixset"/>
      <sheetName val="Amort"/>
      <sheetName val="Capex"/>
      <sheetName val="Financing"/>
      <sheetName val="Loan"/>
      <sheetName val="Timedepo"/>
      <sheetName val="IS"/>
      <sheetName val="BS"/>
      <sheetName val="CF"/>
      <sheetName val="Valuation"/>
      <sheetName val="Sensitiv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M-03"/>
      <sheetName val="BBM-03 (2)"/>
      <sheetName val="GL_Account"/>
    </sheetNames>
    <sheetDataSet>
      <sheetData sheetId="0">
        <row r="767">
          <cell r="B767">
            <v>739</v>
          </cell>
        </row>
        <row r="768">
          <cell r="B768">
            <v>740</v>
          </cell>
        </row>
        <row r="769">
          <cell r="B769">
            <v>741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DDF9-12B6-43FD-8160-9A1D6D7AA110}">
  <dimension ref="A3:O132"/>
  <sheetViews>
    <sheetView tabSelected="1" zoomScale="85" zoomScaleNormal="85" workbookViewId="0">
      <selection activeCell="H11" sqref="H11"/>
    </sheetView>
  </sheetViews>
  <sheetFormatPr defaultRowHeight="15" x14ac:dyDescent="0.25"/>
  <cols>
    <col min="1" max="1" width="9" style="1" customWidth="1"/>
    <col min="2" max="2" width="14.28515625" style="1" customWidth="1"/>
    <col min="3" max="3" width="3.5703125" style="1" customWidth="1"/>
    <col min="4" max="4" width="14.28515625" style="1" customWidth="1"/>
    <col min="5" max="5" width="7.28515625" style="1" customWidth="1"/>
    <col min="6" max="7" width="9.140625" style="1"/>
    <col min="8" max="8" width="11.5703125" style="1" customWidth="1"/>
    <col min="9" max="9" width="14.42578125" style="2" customWidth="1"/>
    <col min="11" max="11" width="19.28515625" customWidth="1"/>
    <col min="12" max="12" width="14.28515625" bestFit="1" customWidth="1"/>
    <col min="13" max="13" width="12.42578125" customWidth="1"/>
    <col min="14" max="14" width="11.42578125" customWidth="1"/>
    <col min="15" max="15" width="17" bestFit="1" customWidth="1"/>
  </cols>
  <sheetData>
    <row r="3" spans="1:15" x14ac:dyDescent="0.25">
      <c r="K3" s="42" t="s">
        <v>0</v>
      </c>
      <c r="L3" s="43"/>
      <c r="M3" s="43"/>
      <c r="N3" s="43"/>
      <c r="O3" s="44"/>
    </row>
    <row r="4" spans="1:15" ht="15.75" thickBot="1" x14ac:dyDescent="0.3">
      <c r="K4" s="3"/>
      <c r="O4" s="4"/>
    </row>
    <row r="5" spans="1:15" ht="26.25" thickBot="1" x14ac:dyDescent="0.3">
      <c r="A5" s="5" t="s">
        <v>1</v>
      </c>
      <c r="B5" s="45" t="s">
        <v>2</v>
      </c>
      <c r="C5" s="46"/>
      <c r="D5" s="47"/>
      <c r="E5" s="6" t="s">
        <v>3</v>
      </c>
      <c r="F5" s="7"/>
      <c r="G5" s="6" t="s">
        <v>4</v>
      </c>
      <c r="H5" s="5" t="s">
        <v>1</v>
      </c>
      <c r="K5" s="8" t="s">
        <v>5</v>
      </c>
      <c r="L5" s="9" t="s">
        <v>6</v>
      </c>
      <c r="M5" s="9" t="s">
        <v>7</v>
      </c>
      <c r="N5" s="9" t="s">
        <v>8</v>
      </c>
      <c r="O5" s="9" t="s">
        <v>9</v>
      </c>
    </row>
    <row r="6" spans="1:15" x14ac:dyDescent="0.25">
      <c r="A6" s="10" t="s">
        <v>10</v>
      </c>
      <c r="B6" s="11">
        <v>0</v>
      </c>
      <c r="C6" s="12" t="s">
        <v>11</v>
      </c>
      <c r="D6" s="13">
        <v>5400000</v>
      </c>
      <c r="E6" s="14">
        <v>0</v>
      </c>
      <c r="F6" s="15"/>
      <c r="G6" s="16" t="s">
        <v>12</v>
      </c>
      <c r="H6" s="17" t="s">
        <v>10</v>
      </c>
      <c r="K6" s="18">
        <v>10000000</v>
      </c>
      <c r="L6" s="19" t="s">
        <v>13</v>
      </c>
      <c r="M6" s="20" t="str">
        <f>VLOOKUP(L6,'Simulasi TER'!$G$5:$H$13,2,FALSE)</f>
        <v>TER A</v>
      </c>
      <c r="N6" s="21">
        <f>SUMPRODUCT('Simulasi TER'!$E$6:$E$132*('Simulasi TER'!$A$6:$A$132=$M6)*('Simulasi TER'!$B$6:$B$132&lt;K6)*(('Simulasi TER'!$D$6:$D$132&gt;=K6)+('Simulasi TER'!$D$6:$D$132="")))</f>
        <v>0.02</v>
      </c>
      <c r="O6" s="22">
        <f>+K6*N6</f>
        <v>200000</v>
      </c>
    </row>
    <row r="7" spans="1:15" x14ac:dyDescent="0.25">
      <c r="A7" s="10" t="s">
        <v>10</v>
      </c>
      <c r="B7" s="11">
        <f>D6</f>
        <v>5400000</v>
      </c>
      <c r="C7" s="12" t="s">
        <v>11</v>
      </c>
      <c r="D7" s="13">
        <v>5650000</v>
      </c>
      <c r="E7" s="23">
        <v>2.5000000000000001E-3</v>
      </c>
      <c r="F7" s="24"/>
      <c r="G7" s="16" t="s">
        <v>13</v>
      </c>
      <c r="H7" s="17" t="s">
        <v>10</v>
      </c>
      <c r="K7" s="3"/>
      <c r="O7" s="4"/>
    </row>
    <row r="8" spans="1:15" x14ac:dyDescent="0.25">
      <c r="A8" s="10" t="s">
        <v>10</v>
      </c>
      <c r="B8" s="11">
        <f>D7</f>
        <v>5650000</v>
      </c>
      <c r="C8" s="12" t="s">
        <v>11</v>
      </c>
      <c r="D8" s="13">
        <v>5950000</v>
      </c>
      <c r="E8" s="23">
        <v>5.0000000000000001E-3</v>
      </c>
      <c r="F8" s="24"/>
      <c r="G8" s="16" t="s">
        <v>14</v>
      </c>
      <c r="H8" s="17" t="s">
        <v>10</v>
      </c>
      <c r="K8" s="3"/>
      <c r="O8" s="4"/>
    </row>
    <row r="9" spans="1:15" x14ac:dyDescent="0.25">
      <c r="A9" s="10" t="s">
        <v>10</v>
      </c>
      <c r="B9" s="11">
        <f t="shared" ref="B9:B73" si="0">D8</f>
        <v>5950000</v>
      </c>
      <c r="C9" s="12" t="s">
        <v>11</v>
      </c>
      <c r="D9" s="13">
        <v>6300000</v>
      </c>
      <c r="E9" s="23">
        <v>7.4999999999999997E-3</v>
      </c>
      <c r="F9" s="24"/>
      <c r="G9" s="16" t="s">
        <v>15</v>
      </c>
      <c r="H9" s="17" t="s">
        <v>16</v>
      </c>
      <c r="K9" s="48" t="s">
        <v>17</v>
      </c>
      <c r="L9" s="49"/>
      <c r="M9" s="49"/>
      <c r="N9" s="49"/>
      <c r="O9" s="50"/>
    </row>
    <row r="10" spans="1:15" x14ac:dyDescent="0.25">
      <c r="A10" s="10" t="s">
        <v>10</v>
      </c>
      <c r="B10" s="11">
        <f t="shared" si="0"/>
        <v>6300000</v>
      </c>
      <c r="C10" s="12" t="s">
        <v>11</v>
      </c>
      <c r="D10" s="13">
        <v>6750000</v>
      </c>
      <c r="E10" s="14">
        <v>0.01</v>
      </c>
      <c r="F10" s="24"/>
      <c r="G10" s="16" t="s">
        <v>18</v>
      </c>
      <c r="H10" s="17" t="s">
        <v>16</v>
      </c>
      <c r="K10" s="3"/>
      <c r="O10" s="4"/>
    </row>
    <row r="11" spans="1:15" ht="38.25" x14ac:dyDescent="0.25">
      <c r="A11" s="10" t="s">
        <v>10</v>
      </c>
      <c r="B11" s="11">
        <f t="shared" si="0"/>
        <v>6750000</v>
      </c>
      <c r="C11" s="12" t="s">
        <v>11</v>
      </c>
      <c r="D11" s="13">
        <v>7500000</v>
      </c>
      <c r="E11" s="23">
        <v>1.2500000000000001E-2</v>
      </c>
      <c r="F11" s="24"/>
      <c r="G11" s="16" t="s">
        <v>19</v>
      </c>
      <c r="H11" s="17" t="s">
        <v>16</v>
      </c>
      <c r="K11" s="8" t="s">
        <v>20</v>
      </c>
      <c r="L11" s="9" t="s">
        <v>6</v>
      </c>
      <c r="M11" s="9" t="s">
        <v>7</v>
      </c>
      <c r="N11" s="9" t="s">
        <v>8</v>
      </c>
      <c r="O11" s="9" t="s">
        <v>9</v>
      </c>
    </row>
    <row r="12" spans="1:15" x14ac:dyDescent="0.25">
      <c r="A12" s="10" t="s">
        <v>10</v>
      </c>
      <c r="B12" s="11">
        <f t="shared" si="0"/>
        <v>7500000</v>
      </c>
      <c r="C12" s="12" t="s">
        <v>11</v>
      </c>
      <c r="D12" s="13">
        <v>8550000</v>
      </c>
      <c r="E12" s="23">
        <v>1.4999999999999999E-2</v>
      </c>
      <c r="F12" s="24"/>
      <c r="G12" s="16" t="s">
        <v>21</v>
      </c>
      <c r="H12" s="17" t="s">
        <v>16</v>
      </c>
      <c r="K12" s="25">
        <f>+K6+K20</f>
        <v>10000000</v>
      </c>
      <c r="L12" s="26" t="str">
        <f>+L6</f>
        <v>TK/1</v>
      </c>
      <c r="M12" s="20" t="str">
        <f>VLOOKUP(L12,'Simulasi TER'!$G$5:$H$13,2,FALSE)</f>
        <v>TER A</v>
      </c>
      <c r="N12" s="21">
        <f>SUMPRODUCT('Simulasi TER'!$E$6:$E$132*('Simulasi TER'!$A$6:$A$132=$M12)*('Simulasi TER'!$B$6:$B$132&lt;K12)*(('Simulasi TER'!$D$6:$D$132&gt;=K12)+('Simulasi TER'!$D$6:$D$132="")))</f>
        <v>0.02</v>
      </c>
      <c r="O12" s="22">
        <f>+K12*N12</f>
        <v>200000</v>
      </c>
    </row>
    <row r="13" spans="1:15" ht="15.75" thickBot="1" x14ac:dyDescent="0.3">
      <c r="A13" s="10" t="s">
        <v>10</v>
      </c>
      <c r="B13" s="11">
        <f t="shared" si="0"/>
        <v>8550000</v>
      </c>
      <c r="C13" s="12" t="s">
        <v>11</v>
      </c>
      <c r="D13" s="13">
        <v>9650000</v>
      </c>
      <c r="E13" s="23">
        <v>1.7500000000000002E-2</v>
      </c>
      <c r="F13" s="24"/>
      <c r="G13" s="27" t="s">
        <v>22</v>
      </c>
      <c r="H13" s="28" t="s">
        <v>23</v>
      </c>
      <c r="K13" s="3"/>
      <c r="O13" s="4"/>
    </row>
    <row r="14" spans="1:15" x14ac:dyDescent="0.25">
      <c r="A14" s="10" t="s">
        <v>10</v>
      </c>
      <c r="B14" s="11">
        <f t="shared" si="0"/>
        <v>9650000</v>
      </c>
      <c r="C14" s="12" t="s">
        <v>11</v>
      </c>
      <c r="D14" s="13">
        <v>10050000</v>
      </c>
      <c r="E14" s="14">
        <v>0.02</v>
      </c>
      <c r="F14" s="15"/>
      <c r="K14" s="3"/>
      <c r="O14" s="4"/>
    </row>
    <row r="15" spans="1:15" ht="25.5" x14ac:dyDescent="0.25">
      <c r="A15" s="10" t="s">
        <v>10</v>
      </c>
      <c r="B15" s="11">
        <f t="shared" si="0"/>
        <v>10050000</v>
      </c>
      <c r="C15" s="12" t="s">
        <v>11</v>
      </c>
      <c r="D15" s="13">
        <v>10350000</v>
      </c>
      <c r="E15" s="23">
        <v>2.2499999999999999E-2</v>
      </c>
      <c r="F15" s="24"/>
      <c r="I15" s="29"/>
      <c r="K15" s="8" t="s">
        <v>24</v>
      </c>
      <c r="L15" s="8" t="s">
        <v>25</v>
      </c>
      <c r="M15" s="8" t="s">
        <v>26</v>
      </c>
      <c r="O15" s="4"/>
    </row>
    <row r="16" spans="1:15" x14ac:dyDescent="0.25">
      <c r="A16" s="10" t="s">
        <v>10</v>
      </c>
      <c r="B16" s="11">
        <f t="shared" si="0"/>
        <v>10350000</v>
      </c>
      <c r="C16" s="12" t="s">
        <v>11</v>
      </c>
      <c r="D16" s="13">
        <v>10700000</v>
      </c>
      <c r="E16" s="23">
        <v>2.5000000000000001E-2</v>
      </c>
      <c r="F16" s="24"/>
      <c r="I16" s="29"/>
      <c r="K16" s="25">
        <f>+O6</f>
        <v>200000</v>
      </c>
      <c r="L16" s="25">
        <f>+O12</f>
        <v>200000</v>
      </c>
      <c r="M16" s="25">
        <f>+L16-K16</f>
        <v>0</v>
      </c>
      <c r="O16" s="4"/>
    </row>
    <row r="17" spans="1:15" x14ac:dyDescent="0.25">
      <c r="A17" s="10" t="s">
        <v>10</v>
      </c>
      <c r="B17" s="11">
        <f t="shared" si="0"/>
        <v>10700000</v>
      </c>
      <c r="C17" s="12" t="s">
        <v>11</v>
      </c>
      <c r="D17" s="13">
        <v>11050000</v>
      </c>
      <c r="E17" s="23">
        <v>0.03</v>
      </c>
      <c r="F17" s="24"/>
      <c r="I17" s="30"/>
      <c r="K17" s="3"/>
      <c r="O17" s="4"/>
    </row>
    <row r="18" spans="1:15" x14ac:dyDescent="0.2">
      <c r="A18" s="10" t="s">
        <v>10</v>
      </c>
      <c r="B18" s="11">
        <f t="shared" si="0"/>
        <v>11050000</v>
      </c>
      <c r="C18" s="12" t="s">
        <v>11</v>
      </c>
      <c r="D18" s="13">
        <v>11600000</v>
      </c>
      <c r="E18" s="23">
        <v>3.5000000000000003E-2</v>
      </c>
      <c r="F18" s="24"/>
      <c r="I18" s="31" t="s">
        <v>27</v>
      </c>
      <c r="K18" s="3"/>
      <c r="O18" s="4"/>
    </row>
    <row r="19" spans="1:15" ht="25.5" x14ac:dyDescent="0.2">
      <c r="A19" s="10" t="s">
        <v>10</v>
      </c>
      <c r="B19" s="11">
        <f t="shared" si="0"/>
        <v>11600000</v>
      </c>
      <c r="C19" s="12" t="s">
        <v>11</v>
      </c>
      <c r="D19" s="13">
        <v>12500000</v>
      </c>
      <c r="E19" s="23">
        <v>0.04</v>
      </c>
      <c r="F19" s="24"/>
      <c r="G19" s="32" t="s">
        <v>12</v>
      </c>
      <c r="H19" s="33">
        <v>54000000</v>
      </c>
      <c r="I19" s="34">
        <v>4500000</v>
      </c>
      <c r="K19" s="8" t="s">
        <v>28</v>
      </c>
      <c r="L19" s="8" t="s">
        <v>26</v>
      </c>
      <c r="M19" s="8" t="s">
        <v>29</v>
      </c>
      <c r="O19" s="4"/>
    </row>
    <row r="20" spans="1:15" x14ac:dyDescent="0.2">
      <c r="A20" s="10" t="s">
        <v>10</v>
      </c>
      <c r="B20" s="11">
        <f t="shared" si="0"/>
        <v>12500000</v>
      </c>
      <c r="C20" s="12" t="s">
        <v>11</v>
      </c>
      <c r="D20" s="13">
        <v>13750000</v>
      </c>
      <c r="E20" s="23">
        <v>0.05</v>
      </c>
      <c r="F20" s="24"/>
      <c r="G20" s="32" t="s">
        <v>14</v>
      </c>
      <c r="H20" s="33">
        <v>58500000</v>
      </c>
      <c r="I20" s="34">
        <v>4875000</v>
      </c>
      <c r="K20" s="18"/>
      <c r="L20" s="25">
        <f>+M16</f>
        <v>0</v>
      </c>
      <c r="M20" s="25">
        <f>+K20-L20</f>
        <v>0</v>
      </c>
      <c r="N20" s="35"/>
      <c r="O20" s="36"/>
    </row>
    <row r="21" spans="1:15" x14ac:dyDescent="0.2">
      <c r="A21" s="10" t="s">
        <v>10</v>
      </c>
      <c r="B21" s="11">
        <f>D20</f>
        <v>13750000</v>
      </c>
      <c r="C21" s="12" t="s">
        <v>11</v>
      </c>
      <c r="D21" s="13">
        <v>15100000</v>
      </c>
      <c r="E21" s="23">
        <v>0.06</v>
      </c>
      <c r="F21" s="24"/>
      <c r="G21" s="32" t="s">
        <v>19</v>
      </c>
      <c r="H21" s="33">
        <v>63000000</v>
      </c>
      <c r="I21" s="34">
        <v>5250000</v>
      </c>
    </row>
    <row r="22" spans="1:15" x14ac:dyDescent="0.2">
      <c r="A22" s="10" t="s">
        <v>10</v>
      </c>
      <c r="B22" s="11">
        <f t="shared" si="0"/>
        <v>15100000</v>
      </c>
      <c r="C22" s="12" t="s">
        <v>11</v>
      </c>
      <c r="D22" s="13">
        <v>16950000</v>
      </c>
      <c r="E22" s="23">
        <v>7.0000000000000007E-2</v>
      </c>
      <c r="F22" s="24"/>
      <c r="G22" s="32" t="s">
        <v>21</v>
      </c>
      <c r="H22" s="33">
        <v>67500000</v>
      </c>
      <c r="I22" s="34">
        <v>5625000</v>
      </c>
    </row>
    <row r="23" spans="1:15" x14ac:dyDescent="0.2">
      <c r="A23" s="10" t="s">
        <v>10</v>
      </c>
      <c r="B23" s="11">
        <f t="shared" si="0"/>
        <v>16950000</v>
      </c>
      <c r="C23" s="12" t="s">
        <v>11</v>
      </c>
      <c r="D23" s="13">
        <v>19750000</v>
      </c>
      <c r="E23" s="23">
        <v>0.08</v>
      </c>
      <c r="F23" s="24"/>
      <c r="G23" s="32" t="s">
        <v>22</v>
      </c>
      <c r="H23" s="33">
        <v>72000000</v>
      </c>
      <c r="I23" s="37">
        <v>6000000</v>
      </c>
    </row>
    <row r="24" spans="1:15" x14ac:dyDescent="0.25">
      <c r="A24" s="10" t="s">
        <v>10</v>
      </c>
      <c r="B24" s="11">
        <f t="shared" si="0"/>
        <v>19750000</v>
      </c>
      <c r="C24" s="12" t="s">
        <v>11</v>
      </c>
      <c r="D24" s="13">
        <v>24150000</v>
      </c>
      <c r="E24" s="23">
        <v>0.09</v>
      </c>
      <c r="F24" s="24"/>
    </row>
    <row r="25" spans="1:15" x14ac:dyDescent="0.25">
      <c r="A25" s="10" t="s">
        <v>10</v>
      </c>
      <c r="B25" s="11">
        <f t="shared" si="0"/>
        <v>24150000</v>
      </c>
      <c r="C25" s="12" t="s">
        <v>11</v>
      </c>
      <c r="D25" s="13">
        <v>26450000</v>
      </c>
      <c r="E25" s="23">
        <v>0.1</v>
      </c>
      <c r="F25" s="24"/>
    </row>
    <row r="26" spans="1:15" x14ac:dyDescent="0.25">
      <c r="A26" s="10" t="s">
        <v>10</v>
      </c>
      <c r="B26" s="11">
        <f t="shared" si="0"/>
        <v>26450000</v>
      </c>
      <c r="C26" s="12" t="s">
        <v>11</v>
      </c>
      <c r="D26" s="13">
        <v>28000000</v>
      </c>
      <c r="E26" s="23">
        <v>0.11</v>
      </c>
      <c r="F26" s="24"/>
    </row>
    <row r="27" spans="1:15" x14ac:dyDescent="0.25">
      <c r="A27" s="10" t="s">
        <v>10</v>
      </c>
      <c r="B27" s="11">
        <f t="shared" si="0"/>
        <v>28000000</v>
      </c>
      <c r="C27" s="12" t="s">
        <v>11</v>
      </c>
      <c r="D27" s="13">
        <v>30050000</v>
      </c>
      <c r="E27" s="23">
        <v>0.12</v>
      </c>
      <c r="F27" s="24"/>
    </row>
    <row r="28" spans="1:15" x14ac:dyDescent="0.25">
      <c r="A28" s="10" t="s">
        <v>10</v>
      </c>
      <c r="B28" s="11">
        <f t="shared" si="0"/>
        <v>30050000</v>
      </c>
      <c r="C28" s="12" t="s">
        <v>11</v>
      </c>
      <c r="D28" s="13">
        <v>32400000</v>
      </c>
      <c r="E28" s="23">
        <v>0.13</v>
      </c>
      <c r="F28" s="24"/>
    </row>
    <row r="29" spans="1:15" x14ac:dyDescent="0.25">
      <c r="A29" s="10" t="s">
        <v>10</v>
      </c>
      <c r="B29" s="11">
        <f t="shared" si="0"/>
        <v>32400000</v>
      </c>
      <c r="C29" s="12" t="s">
        <v>11</v>
      </c>
      <c r="D29" s="13">
        <v>35400000</v>
      </c>
      <c r="E29" s="23">
        <v>0.14000000000000001</v>
      </c>
      <c r="F29" s="24"/>
    </row>
    <row r="30" spans="1:15" x14ac:dyDescent="0.25">
      <c r="A30" s="10" t="s">
        <v>10</v>
      </c>
      <c r="B30" s="11">
        <f t="shared" si="0"/>
        <v>35400000</v>
      </c>
      <c r="C30" s="12" t="s">
        <v>11</v>
      </c>
      <c r="D30" s="13">
        <v>39100000</v>
      </c>
      <c r="E30" s="23">
        <v>0.15</v>
      </c>
      <c r="F30" s="24"/>
    </row>
    <row r="31" spans="1:15" x14ac:dyDescent="0.25">
      <c r="A31" s="10" t="s">
        <v>10</v>
      </c>
      <c r="B31" s="11">
        <f t="shared" si="0"/>
        <v>39100000</v>
      </c>
      <c r="C31" s="12" t="s">
        <v>11</v>
      </c>
      <c r="D31" s="13">
        <v>43850000</v>
      </c>
      <c r="E31" s="23">
        <v>0.16</v>
      </c>
      <c r="F31" s="24"/>
    </row>
    <row r="32" spans="1:15" x14ac:dyDescent="0.25">
      <c r="A32" s="10" t="s">
        <v>10</v>
      </c>
      <c r="B32" s="11">
        <f t="shared" si="0"/>
        <v>43850000</v>
      </c>
      <c r="C32" s="12" t="s">
        <v>11</v>
      </c>
      <c r="D32" s="13">
        <v>47800000</v>
      </c>
      <c r="E32" s="23">
        <v>0.17</v>
      </c>
      <c r="F32" s="24"/>
    </row>
    <row r="33" spans="1:6" x14ac:dyDescent="0.25">
      <c r="A33" s="10" t="s">
        <v>10</v>
      </c>
      <c r="B33" s="11">
        <f t="shared" si="0"/>
        <v>47800000</v>
      </c>
      <c r="C33" s="12" t="s">
        <v>11</v>
      </c>
      <c r="D33" s="13">
        <v>51400000</v>
      </c>
      <c r="E33" s="23">
        <v>0.18</v>
      </c>
      <c r="F33" s="24"/>
    </row>
    <row r="34" spans="1:6" x14ac:dyDescent="0.25">
      <c r="A34" s="10" t="s">
        <v>10</v>
      </c>
      <c r="B34" s="11">
        <f t="shared" si="0"/>
        <v>51400000</v>
      </c>
      <c r="C34" s="12" t="s">
        <v>11</v>
      </c>
      <c r="D34" s="13">
        <v>56300000</v>
      </c>
      <c r="E34" s="23">
        <v>0.19</v>
      </c>
      <c r="F34" s="24"/>
    </row>
    <row r="35" spans="1:6" x14ac:dyDescent="0.25">
      <c r="A35" s="10" t="s">
        <v>10</v>
      </c>
      <c r="B35" s="11">
        <f t="shared" si="0"/>
        <v>56300000</v>
      </c>
      <c r="C35" s="12" t="s">
        <v>11</v>
      </c>
      <c r="D35" s="13">
        <v>62200000</v>
      </c>
      <c r="E35" s="23">
        <v>0.2</v>
      </c>
      <c r="F35" s="24"/>
    </row>
    <row r="36" spans="1:6" x14ac:dyDescent="0.25">
      <c r="A36" s="10" t="s">
        <v>10</v>
      </c>
      <c r="B36" s="11">
        <f t="shared" si="0"/>
        <v>62200000</v>
      </c>
      <c r="C36" s="12" t="s">
        <v>11</v>
      </c>
      <c r="D36" s="13">
        <v>68600000</v>
      </c>
      <c r="E36" s="23">
        <v>0.21</v>
      </c>
      <c r="F36" s="24"/>
    </row>
    <row r="37" spans="1:6" x14ac:dyDescent="0.25">
      <c r="A37" s="10" t="s">
        <v>10</v>
      </c>
      <c r="B37" s="11">
        <f t="shared" si="0"/>
        <v>68600000</v>
      </c>
      <c r="C37" s="12" t="s">
        <v>11</v>
      </c>
      <c r="D37" s="13">
        <v>77500000</v>
      </c>
      <c r="E37" s="23">
        <v>0.22</v>
      </c>
      <c r="F37" s="24"/>
    </row>
    <row r="38" spans="1:6" x14ac:dyDescent="0.25">
      <c r="A38" s="10" t="s">
        <v>10</v>
      </c>
      <c r="B38" s="11">
        <f t="shared" si="0"/>
        <v>77500000</v>
      </c>
      <c r="C38" s="12" t="s">
        <v>11</v>
      </c>
      <c r="D38" s="13">
        <v>89000000</v>
      </c>
      <c r="E38" s="23">
        <v>0.23</v>
      </c>
      <c r="F38" s="24"/>
    </row>
    <row r="39" spans="1:6" x14ac:dyDescent="0.25">
      <c r="A39" s="10" t="s">
        <v>10</v>
      </c>
      <c r="B39" s="11">
        <f t="shared" si="0"/>
        <v>89000000</v>
      </c>
      <c r="C39" s="12" t="s">
        <v>11</v>
      </c>
      <c r="D39" s="13">
        <v>103000000</v>
      </c>
      <c r="E39" s="23">
        <v>0.24</v>
      </c>
      <c r="F39" s="24"/>
    </row>
    <row r="40" spans="1:6" x14ac:dyDescent="0.25">
      <c r="A40" s="10" t="s">
        <v>10</v>
      </c>
      <c r="B40" s="11">
        <f t="shared" si="0"/>
        <v>103000000</v>
      </c>
      <c r="C40" s="12" t="s">
        <v>11</v>
      </c>
      <c r="D40" s="13">
        <v>125000000</v>
      </c>
      <c r="E40" s="23">
        <v>0.25</v>
      </c>
      <c r="F40" s="24"/>
    </row>
    <row r="41" spans="1:6" x14ac:dyDescent="0.25">
      <c r="A41" s="10" t="s">
        <v>10</v>
      </c>
      <c r="B41" s="11">
        <f t="shared" si="0"/>
        <v>125000000</v>
      </c>
      <c r="C41" s="12" t="s">
        <v>11</v>
      </c>
      <c r="D41" s="13">
        <v>157000000</v>
      </c>
      <c r="E41" s="23">
        <v>0.26</v>
      </c>
      <c r="F41" s="24"/>
    </row>
    <row r="42" spans="1:6" x14ac:dyDescent="0.25">
      <c r="A42" s="10" t="s">
        <v>10</v>
      </c>
      <c r="B42" s="11">
        <f t="shared" si="0"/>
        <v>157000000</v>
      </c>
      <c r="C42" s="12" t="s">
        <v>11</v>
      </c>
      <c r="D42" s="13">
        <v>206000000</v>
      </c>
      <c r="E42" s="23">
        <v>0.27</v>
      </c>
      <c r="F42" s="24"/>
    </row>
    <row r="43" spans="1:6" x14ac:dyDescent="0.25">
      <c r="A43" s="10" t="s">
        <v>10</v>
      </c>
      <c r="B43" s="11">
        <f t="shared" si="0"/>
        <v>206000000</v>
      </c>
      <c r="C43" s="12" t="s">
        <v>11</v>
      </c>
      <c r="D43" s="13">
        <v>337000000</v>
      </c>
      <c r="E43" s="23">
        <v>0.28000000000000003</v>
      </c>
      <c r="F43" s="24"/>
    </row>
    <row r="44" spans="1:6" x14ac:dyDescent="0.25">
      <c r="A44" s="10" t="s">
        <v>10</v>
      </c>
      <c r="B44" s="11">
        <f t="shared" si="0"/>
        <v>337000000</v>
      </c>
      <c r="C44" s="12" t="s">
        <v>11</v>
      </c>
      <c r="D44" s="13">
        <v>454000000</v>
      </c>
      <c r="E44" s="23">
        <v>0.28999999999999998</v>
      </c>
      <c r="F44" s="24"/>
    </row>
    <row r="45" spans="1:6" x14ac:dyDescent="0.25">
      <c r="A45" s="10" t="s">
        <v>10</v>
      </c>
      <c r="B45" s="11">
        <f t="shared" si="0"/>
        <v>454000000</v>
      </c>
      <c r="C45" s="12" t="s">
        <v>11</v>
      </c>
      <c r="D45" s="13">
        <v>550000000</v>
      </c>
      <c r="E45" s="23">
        <v>0.3</v>
      </c>
      <c r="F45" s="24"/>
    </row>
    <row r="46" spans="1:6" x14ac:dyDescent="0.25">
      <c r="A46" s="10" t="s">
        <v>10</v>
      </c>
      <c r="B46" s="11">
        <f t="shared" si="0"/>
        <v>550000000</v>
      </c>
      <c r="C46" s="12" t="s">
        <v>11</v>
      </c>
      <c r="D46" s="13">
        <v>695000000</v>
      </c>
      <c r="E46" s="23">
        <v>0.31</v>
      </c>
      <c r="F46" s="24"/>
    </row>
    <row r="47" spans="1:6" x14ac:dyDescent="0.25">
      <c r="A47" s="10" t="s">
        <v>10</v>
      </c>
      <c r="B47" s="11">
        <f t="shared" si="0"/>
        <v>695000000</v>
      </c>
      <c r="C47" s="12" t="s">
        <v>11</v>
      </c>
      <c r="D47" s="13">
        <v>910000000</v>
      </c>
      <c r="E47" s="23">
        <v>0.32</v>
      </c>
      <c r="F47" s="24"/>
    </row>
    <row r="48" spans="1:6" x14ac:dyDescent="0.25">
      <c r="A48" s="10" t="s">
        <v>10</v>
      </c>
      <c r="B48" s="11">
        <f t="shared" si="0"/>
        <v>910000000</v>
      </c>
      <c r="C48" s="12" t="s">
        <v>11</v>
      </c>
      <c r="D48" s="13">
        <v>1400000000</v>
      </c>
      <c r="E48" s="23">
        <v>0.33</v>
      </c>
      <c r="F48" s="24"/>
    </row>
    <row r="49" spans="1:6" x14ac:dyDescent="0.25">
      <c r="A49" s="10" t="s">
        <v>10</v>
      </c>
      <c r="B49" s="11">
        <v>1400000000</v>
      </c>
      <c r="C49" s="12"/>
      <c r="D49" s="13"/>
      <c r="E49" s="23">
        <v>0.34</v>
      </c>
      <c r="F49" s="24"/>
    </row>
    <row r="50" spans="1:6" x14ac:dyDescent="0.25">
      <c r="B50" s="38"/>
      <c r="C50" s="38"/>
      <c r="D50" s="38"/>
      <c r="E50" s="39"/>
      <c r="F50" s="39"/>
    </row>
    <row r="51" spans="1:6" x14ac:dyDescent="0.25">
      <c r="A51" s="10" t="s">
        <v>16</v>
      </c>
      <c r="B51" s="11">
        <v>0</v>
      </c>
      <c r="C51" s="12" t="s">
        <v>11</v>
      </c>
      <c r="D51" s="13">
        <v>6200000</v>
      </c>
      <c r="E51" s="23">
        <v>0</v>
      </c>
      <c r="F51" s="24"/>
    </row>
    <row r="52" spans="1:6" x14ac:dyDescent="0.25">
      <c r="A52" s="10" t="s">
        <v>16</v>
      </c>
      <c r="B52" s="11">
        <f t="shared" si="0"/>
        <v>6200000</v>
      </c>
      <c r="C52" s="12" t="s">
        <v>11</v>
      </c>
      <c r="D52" s="13">
        <v>6500000</v>
      </c>
      <c r="E52" s="23">
        <v>2.5000000000000001E-3</v>
      </c>
      <c r="F52" s="24"/>
    </row>
    <row r="53" spans="1:6" x14ac:dyDescent="0.25">
      <c r="A53" s="10" t="s">
        <v>16</v>
      </c>
      <c r="B53" s="11">
        <f t="shared" si="0"/>
        <v>6500000</v>
      </c>
      <c r="C53" s="12" t="s">
        <v>11</v>
      </c>
      <c r="D53" s="13">
        <v>6850000</v>
      </c>
      <c r="E53" s="23">
        <v>5.0000000000000001E-3</v>
      </c>
      <c r="F53" s="24"/>
    </row>
    <row r="54" spans="1:6" x14ac:dyDescent="0.25">
      <c r="A54" s="10" t="s">
        <v>16</v>
      </c>
      <c r="B54" s="11">
        <f t="shared" si="0"/>
        <v>6850000</v>
      </c>
      <c r="C54" s="12" t="s">
        <v>11</v>
      </c>
      <c r="D54" s="13">
        <v>7300000</v>
      </c>
      <c r="E54" s="23">
        <v>7.4999999999999997E-3</v>
      </c>
      <c r="F54" s="24"/>
    </row>
    <row r="55" spans="1:6" x14ac:dyDescent="0.25">
      <c r="A55" s="10" t="s">
        <v>16</v>
      </c>
      <c r="B55" s="11">
        <f t="shared" si="0"/>
        <v>7300000</v>
      </c>
      <c r="C55" s="12" t="s">
        <v>11</v>
      </c>
      <c r="D55" s="13">
        <v>9200000</v>
      </c>
      <c r="E55" s="23">
        <v>0.01</v>
      </c>
      <c r="F55" s="24"/>
    </row>
    <row r="56" spans="1:6" x14ac:dyDescent="0.25">
      <c r="A56" s="10" t="s">
        <v>16</v>
      </c>
      <c r="B56" s="11">
        <f t="shared" si="0"/>
        <v>9200000</v>
      </c>
      <c r="C56" s="12" t="s">
        <v>11</v>
      </c>
      <c r="D56" s="13">
        <v>10750000</v>
      </c>
      <c r="E56" s="23">
        <v>1.4999999999999999E-2</v>
      </c>
      <c r="F56" s="24"/>
    </row>
    <row r="57" spans="1:6" x14ac:dyDescent="0.25">
      <c r="A57" s="10" t="s">
        <v>16</v>
      </c>
      <c r="B57" s="11">
        <f t="shared" si="0"/>
        <v>10750000</v>
      </c>
      <c r="C57" s="12" t="s">
        <v>11</v>
      </c>
      <c r="D57" s="13">
        <v>11250000</v>
      </c>
      <c r="E57" s="23">
        <v>0.02</v>
      </c>
      <c r="F57" s="24"/>
    </row>
    <row r="58" spans="1:6" x14ac:dyDescent="0.25">
      <c r="A58" s="10" t="s">
        <v>16</v>
      </c>
      <c r="B58" s="11">
        <f t="shared" si="0"/>
        <v>11250000</v>
      </c>
      <c r="C58" s="12" t="s">
        <v>11</v>
      </c>
      <c r="D58" s="13">
        <v>11600000</v>
      </c>
      <c r="E58" s="23">
        <v>2.5000000000000001E-2</v>
      </c>
      <c r="F58" s="24"/>
    </row>
    <row r="59" spans="1:6" x14ac:dyDescent="0.25">
      <c r="A59" s="10" t="s">
        <v>16</v>
      </c>
      <c r="B59" s="11">
        <f t="shared" si="0"/>
        <v>11600000</v>
      </c>
      <c r="C59" s="12" t="s">
        <v>11</v>
      </c>
      <c r="D59" s="13">
        <v>12600000</v>
      </c>
      <c r="E59" s="23">
        <v>0.03</v>
      </c>
      <c r="F59" s="24"/>
    </row>
    <row r="60" spans="1:6" x14ac:dyDescent="0.25">
      <c r="A60" s="10" t="s">
        <v>16</v>
      </c>
      <c r="B60" s="11">
        <f t="shared" si="0"/>
        <v>12600000</v>
      </c>
      <c r="C60" s="12" t="s">
        <v>11</v>
      </c>
      <c r="D60" s="13">
        <v>13600000</v>
      </c>
      <c r="E60" s="23">
        <v>0.04</v>
      </c>
      <c r="F60" s="24"/>
    </row>
    <row r="61" spans="1:6" x14ac:dyDescent="0.25">
      <c r="A61" s="10" t="s">
        <v>16</v>
      </c>
      <c r="B61" s="11">
        <f t="shared" si="0"/>
        <v>13600000</v>
      </c>
      <c r="C61" s="12" t="s">
        <v>11</v>
      </c>
      <c r="D61" s="13">
        <v>14950000</v>
      </c>
      <c r="E61" s="23">
        <v>0.05</v>
      </c>
      <c r="F61" s="24"/>
    </row>
    <row r="62" spans="1:6" x14ac:dyDescent="0.25">
      <c r="A62" s="10" t="s">
        <v>16</v>
      </c>
      <c r="B62" s="11">
        <f t="shared" si="0"/>
        <v>14950000</v>
      </c>
      <c r="C62" s="12" t="s">
        <v>11</v>
      </c>
      <c r="D62" s="13">
        <v>16400000</v>
      </c>
      <c r="E62" s="23">
        <v>0.06</v>
      </c>
      <c r="F62" s="24"/>
    </row>
    <row r="63" spans="1:6" x14ac:dyDescent="0.25">
      <c r="A63" s="10" t="s">
        <v>16</v>
      </c>
      <c r="B63" s="11">
        <f t="shared" si="0"/>
        <v>16400000</v>
      </c>
      <c r="C63" s="12" t="s">
        <v>11</v>
      </c>
      <c r="D63" s="13">
        <v>18450000</v>
      </c>
      <c r="E63" s="23">
        <v>7.0000000000000007E-2</v>
      </c>
      <c r="F63" s="24"/>
    </row>
    <row r="64" spans="1:6" x14ac:dyDescent="0.25">
      <c r="A64" s="10" t="s">
        <v>16</v>
      </c>
      <c r="B64" s="11">
        <f t="shared" si="0"/>
        <v>18450000</v>
      </c>
      <c r="C64" s="12" t="s">
        <v>11</v>
      </c>
      <c r="D64" s="13">
        <v>21850000</v>
      </c>
      <c r="E64" s="23">
        <v>0.08</v>
      </c>
      <c r="F64" s="24"/>
    </row>
    <row r="65" spans="1:6" x14ac:dyDescent="0.25">
      <c r="A65" s="10" t="s">
        <v>16</v>
      </c>
      <c r="B65" s="11">
        <f t="shared" si="0"/>
        <v>21850000</v>
      </c>
      <c r="C65" s="12" t="s">
        <v>11</v>
      </c>
      <c r="D65" s="13">
        <v>26000000</v>
      </c>
      <c r="E65" s="23">
        <v>0.09</v>
      </c>
      <c r="F65" s="24"/>
    </row>
    <row r="66" spans="1:6" x14ac:dyDescent="0.25">
      <c r="A66" s="10" t="s">
        <v>16</v>
      </c>
      <c r="B66" s="11">
        <f t="shared" si="0"/>
        <v>26000000</v>
      </c>
      <c r="C66" s="12" t="s">
        <v>11</v>
      </c>
      <c r="D66" s="13">
        <v>27700000</v>
      </c>
      <c r="E66" s="23">
        <v>0.1</v>
      </c>
      <c r="F66" s="24"/>
    </row>
    <row r="67" spans="1:6" x14ac:dyDescent="0.25">
      <c r="A67" s="10" t="s">
        <v>16</v>
      </c>
      <c r="B67" s="11">
        <f t="shared" si="0"/>
        <v>27700000</v>
      </c>
      <c r="C67" s="12" t="s">
        <v>11</v>
      </c>
      <c r="D67" s="13">
        <v>29350000</v>
      </c>
      <c r="E67" s="23">
        <v>0.11</v>
      </c>
      <c r="F67" s="24"/>
    </row>
    <row r="68" spans="1:6" x14ac:dyDescent="0.25">
      <c r="A68" s="10" t="s">
        <v>16</v>
      </c>
      <c r="B68" s="11">
        <f t="shared" si="0"/>
        <v>29350000</v>
      </c>
      <c r="C68" s="12" t="s">
        <v>11</v>
      </c>
      <c r="D68" s="13">
        <v>31450000</v>
      </c>
      <c r="E68" s="23">
        <v>0.12</v>
      </c>
      <c r="F68" s="24"/>
    </row>
    <row r="69" spans="1:6" x14ac:dyDescent="0.25">
      <c r="A69" s="10" t="s">
        <v>16</v>
      </c>
      <c r="B69" s="11">
        <f t="shared" si="0"/>
        <v>31450000</v>
      </c>
      <c r="C69" s="12" t="s">
        <v>11</v>
      </c>
      <c r="D69" s="13">
        <v>33950000</v>
      </c>
      <c r="E69" s="23">
        <v>0.13</v>
      </c>
      <c r="F69" s="24"/>
    </row>
    <row r="70" spans="1:6" x14ac:dyDescent="0.25">
      <c r="A70" s="10" t="s">
        <v>16</v>
      </c>
      <c r="B70" s="11">
        <f t="shared" si="0"/>
        <v>33950000</v>
      </c>
      <c r="C70" s="12" t="s">
        <v>11</v>
      </c>
      <c r="D70" s="13">
        <v>37100000</v>
      </c>
      <c r="E70" s="23">
        <v>0.14000000000000001</v>
      </c>
      <c r="F70" s="24"/>
    </row>
    <row r="71" spans="1:6" x14ac:dyDescent="0.25">
      <c r="A71" s="10" t="s">
        <v>16</v>
      </c>
      <c r="B71" s="11">
        <f t="shared" si="0"/>
        <v>37100000</v>
      </c>
      <c r="C71" s="12" t="s">
        <v>11</v>
      </c>
      <c r="D71" s="13">
        <v>41100000</v>
      </c>
      <c r="E71" s="23">
        <v>0.15</v>
      </c>
      <c r="F71" s="24"/>
    </row>
    <row r="72" spans="1:6" x14ac:dyDescent="0.25">
      <c r="A72" s="10" t="s">
        <v>16</v>
      </c>
      <c r="B72" s="11">
        <f t="shared" si="0"/>
        <v>41100000</v>
      </c>
      <c r="C72" s="12" t="s">
        <v>11</v>
      </c>
      <c r="D72" s="13">
        <v>45800000</v>
      </c>
      <c r="E72" s="23">
        <v>0.16</v>
      </c>
      <c r="F72" s="24"/>
    </row>
    <row r="73" spans="1:6" x14ac:dyDescent="0.25">
      <c r="A73" s="10" t="s">
        <v>16</v>
      </c>
      <c r="B73" s="11">
        <f t="shared" si="0"/>
        <v>45800000</v>
      </c>
      <c r="C73" s="12" t="s">
        <v>11</v>
      </c>
      <c r="D73" s="13">
        <v>49500000</v>
      </c>
      <c r="E73" s="23">
        <v>0.17</v>
      </c>
      <c r="F73" s="24"/>
    </row>
    <row r="74" spans="1:6" x14ac:dyDescent="0.25">
      <c r="A74" s="10" t="s">
        <v>16</v>
      </c>
      <c r="B74" s="11">
        <f t="shared" ref="B74:B131" si="1">D73</f>
        <v>49500000</v>
      </c>
      <c r="C74" s="12" t="s">
        <v>11</v>
      </c>
      <c r="D74" s="13">
        <v>53800000</v>
      </c>
      <c r="E74" s="23">
        <v>0.18</v>
      </c>
      <c r="F74" s="24"/>
    </row>
    <row r="75" spans="1:6" x14ac:dyDescent="0.25">
      <c r="A75" s="10" t="s">
        <v>16</v>
      </c>
      <c r="B75" s="11">
        <f t="shared" si="1"/>
        <v>53800000</v>
      </c>
      <c r="C75" s="12" t="s">
        <v>11</v>
      </c>
      <c r="D75" s="13">
        <v>58500000</v>
      </c>
      <c r="E75" s="23">
        <v>0.19</v>
      </c>
      <c r="F75" s="24"/>
    </row>
    <row r="76" spans="1:6" x14ac:dyDescent="0.25">
      <c r="A76" s="10" t="s">
        <v>16</v>
      </c>
      <c r="B76" s="11">
        <f t="shared" si="1"/>
        <v>58500000</v>
      </c>
      <c r="C76" s="12" t="s">
        <v>11</v>
      </c>
      <c r="D76" s="13">
        <v>64000000</v>
      </c>
      <c r="E76" s="23">
        <v>0.2</v>
      </c>
      <c r="F76" s="24"/>
    </row>
    <row r="77" spans="1:6" x14ac:dyDescent="0.25">
      <c r="A77" s="10" t="s">
        <v>16</v>
      </c>
      <c r="B77" s="11">
        <f t="shared" si="1"/>
        <v>64000000</v>
      </c>
      <c r="C77" s="12" t="s">
        <v>11</v>
      </c>
      <c r="D77" s="13">
        <v>71000000</v>
      </c>
      <c r="E77" s="23">
        <v>0.21</v>
      </c>
      <c r="F77" s="24"/>
    </row>
    <row r="78" spans="1:6" x14ac:dyDescent="0.25">
      <c r="A78" s="10" t="s">
        <v>16</v>
      </c>
      <c r="B78" s="11">
        <f t="shared" si="1"/>
        <v>71000000</v>
      </c>
      <c r="C78" s="12" t="s">
        <v>11</v>
      </c>
      <c r="D78" s="13">
        <v>80000000</v>
      </c>
      <c r="E78" s="23">
        <v>0.22</v>
      </c>
      <c r="F78" s="24"/>
    </row>
    <row r="79" spans="1:6" x14ac:dyDescent="0.25">
      <c r="A79" s="10" t="s">
        <v>16</v>
      </c>
      <c r="B79" s="11">
        <f t="shared" si="1"/>
        <v>80000000</v>
      </c>
      <c r="C79" s="12" t="s">
        <v>11</v>
      </c>
      <c r="D79" s="13">
        <v>93000000</v>
      </c>
      <c r="E79" s="23">
        <v>0.23</v>
      </c>
      <c r="F79" s="24"/>
    </row>
    <row r="80" spans="1:6" x14ac:dyDescent="0.25">
      <c r="A80" s="10" t="s">
        <v>16</v>
      </c>
      <c r="B80" s="11">
        <f t="shared" si="1"/>
        <v>93000000</v>
      </c>
      <c r="C80" s="12" t="s">
        <v>11</v>
      </c>
      <c r="D80" s="13">
        <v>109000000</v>
      </c>
      <c r="E80" s="23">
        <v>0.24</v>
      </c>
      <c r="F80" s="24"/>
    </row>
    <row r="81" spans="1:6" x14ac:dyDescent="0.25">
      <c r="A81" s="10" t="s">
        <v>16</v>
      </c>
      <c r="B81" s="11">
        <f t="shared" si="1"/>
        <v>109000000</v>
      </c>
      <c r="C81" s="12" t="s">
        <v>11</v>
      </c>
      <c r="D81" s="13">
        <v>129000000</v>
      </c>
      <c r="E81" s="23">
        <v>0.25</v>
      </c>
      <c r="F81" s="24"/>
    </row>
    <row r="82" spans="1:6" x14ac:dyDescent="0.25">
      <c r="A82" s="10" t="s">
        <v>16</v>
      </c>
      <c r="B82" s="11">
        <f t="shared" si="1"/>
        <v>129000000</v>
      </c>
      <c r="C82" s="12" t="s">
        <v>11</v>
      </c>
      <c r="D82" s="13">
        <v>163000000</v>
      </c>
      <c r="E82" s="23">
        <v>0.26</v>
      </c>
      <c r="F82" s="24"/>
    </row>
    <row r="83" spans="1:6" x14ac:dyDescent="0.25">
      <c r="A83" s="10" t="s">
        <v>16</v>
      </c>
      <c r="B83" s="11">
        <f t="shared" si="1"/>
        <v>163000000</v>
      </c>
      <c r="C83" s="12" t="s">
        <v>11</v>
      </c>
      <c r="D83" s="13">
        <v>211000000</v>
      </c>
      <c r="E83" s="23">
        <v>0.27</v>
      </c>
      <c r="F83" s="24"/>
    </row>
    <row r="84" spans="1:6" x14ac:dyDescent="0.25">
      <c r="A84" s="10" t="s">
        <v>16</v>
      </c>
      <c r="B84" s="11">
        <f t="shared" si="1"/>
        <v>211000000</v>
      </c>
      <c r="C84" s="12" t="s">
        <v>11</v>
      </c>
      <c r="D84" s="13">
        <v>374000000</v>
      </c>
      <c r="E84" s="23">
        <v>0.28000000000000003</v>
      </c>
      <c r="F84" s="24"/>
    </row>
    <row r="85" spans="1:6" x14ac:dyDescent="0.25">
      <c r="A85" s="10" t="s">
        <v>16</v>
      </c>
      <c r="B85" s="11">
        <f t="shared" si="1"/>
        <v>374000000</v>
      </c>
      <c r="C85" s="12" t="s">
        <v>11</v>
      </c>
      <c r="D85" s="13">
        <v>459000000</v>
      </c>
      <c r="E85" s="23">
        <v>0.28999999999999998</v>
      </c>
      <c r="F85" s="24"/>
    </row>
    <row r="86" spans="1:6" x14ac:dyDescent="0.25">
      <c r="A86" s="10" t="s">
        <v>16</v>
      </c>
      <c r="B86" s="11">
        <f t="shared" si="1"/>
        <v>459000000</v>
      </c>
      <c r="C86" s="12" t="s">
        <v>11</v>
      </c>
      <c r="D86" s="13">
        <v>555000000</v>
      </c>
      <c r="E86" s="23">
        <v>0.3</v>
      </c>
      <c r="F86" s="24"/>
    </row>
    <row r="87" spans="1:6" x14ac:dyDescent="0.25">
      <c r="A87" s="10" t="s">
        <v>16</v>
      </c>
      <c r="B87" s="11">
        <f t="shared" si="1"/>
        <v>555000000</v>
      </c>
      <c r="C87" s="12" t="s">
        <v>11</v>
      </c>
      <c r="D87" s="13">
        <v>704000000</v>
      </c>
      <c r="E87" s="23">
        <v>0.31</v>
      </c>
      <c r="F87" s="24"/>
    </row>
    <row r="88" spans="1:6" x14ac:dyDescent="0.25">
      <c r="A88" s="10" t="s">
        <v>16</v>
      </c>
      <c r="B88" s="11">
        <f t="shared" si="1"/>
        <v>704000000</v>
      </c>
      <c r="C88" s="12" t="s">
        <v>11</v>
      </c>
      <c r="D88" s="13">
        <v>957000000</v>
      </c>
      <c r="E88" s="23">
        <v>0.32</v>
      </c>
      <c r="F88" s="24"/>
    </row>
    <row r="89" spans="1:6" x14ac:dyDescent="0.25">
      <c r="A89" s="10" t="s">
        <v>16</v>
      </c>
      <c r="B89" s="11">
        <f t="shared" si="1"/>
        <v>957000000</v>
      </c>
      <c r="C89" s="12" t="s">
        <v>11</v>
      </c>
      <c r="D89" s="13">
        <v>1405000000</v>
      </c>
      <c r="E89" s="23">
        <v>0.33</v>
      </c>
      <c r="F89" s="24"/>
    </row>
    <row r="90" spans="1:6" x14ac:dyDescent="0.25">
      <c r="A90" s="10" t="s">
        <v>16</v>
      </c>
      <c r="B90" s="11">
        <v>1405000000</v>
      </c>
      <c r="C90" s="12"/>
      <c r="D90" s="13"/>
      <c r="E90" s="23">
        <v>0.34</v>
      </c>
      <c r="F90" s="24"/>
    </row>
    <row r="91" spans="1:6" x14ac:dyDescent="0.25">
      <c r="B91" s="38"/>
      <c r="C91" s="38"/>
      <c r="D91" s="38"/>
      <c r="E91" s="39"/>
      <c r="F91" s="39"/>
    </row>
    <row r="92" spans="1:6" x14ac:dyDescent="0.25">
      <c r="A92" s="10" t="s">
        <v>23</v>
      </c>
      <c r="B92" s="11">
        <v>0</v>
      </c>
      <c r="C92" s="12" t="s">
        <v>11</v>
      </c>
      <c r="D92" s="13">
        <v>6600000</v>
      </c>
      <c r="E92" s="23">
        <v>0</v>
      </c>
      <c r="F92" s="24"/>
    </row>
    <row r="93" spans="1:6" x14ac:dyDescent="0.25">
      <c r="A93" s="10" t="s">
        <v>23</v>
      </c>
      <c r="B93" s="11">
        <f t="shared" si="1"/>
        <v>6600000</v>
      </c>
      <c r="C93" s="12" t="s">
        <v>11</v>
      </c>
      <c r="D93" s="13">
        <v>6950000</v>
      </c>
      <c r="E93" s="23">
        <v>2.5000000000000001E-3</v>
      </c>
      <c r="F93" s="24"/>
    </row>
    <row r="94" spans="1:6" x14ac:dyDescent="0.25">
      <c r="A94" s="10" t="s">
        <v>23</v>
      </c>
      <c r="B94" s="11">
        <f t="shared" si="1"/>
        <v>6950000</v>
      </c>
      <c r="C94" s="12" t="s">
        <v>11</v>
      </c>
      <c r="D94" s="13">
        <v>7350000</v>
      </c>
      <c r="E94" s="23">
        <v>5.0000000000000001E-3</v>
      </c>
      <c r="F94" s="24"/>
    </row>
    <row r="95" spans="1:6" x14ac:dyDescent="0.25">
      <c r="A95" s="10" t="s">
        <v>23</v>
      </c>
      <c r="B95" s="11">
        <f t="shared" si="1"/>
        <v>7350000</v>
      </c>
      <c r="C95" s="12" t="s">
        <v>11</v>
      </c>
      <c r="D95" s="13">
        <v>7800000</v>
      </c>
      <c r="E95" s="23">
        <v>7.4999999999999997E-3</v>
      </c>
      <c r="F95" s="24"/>
    </row>
    <row r="96" spans="1:6" x14ac:dyDescent="0.25">
      <c r="A96" s="10" t="s">
        <v>23</v>
      </c>
      <c r="B96" s="11">
        <f t="shared" si="1"/>
        <v>7800000</v>
      </c>
      <c r="C96" s="12" t="s">
        <v>11</v>
      </c>
      <c r="D96" s="13">
        <v>8850000</v>
      </c>
      <c r="E96" s="23">
        <v>0.01</v>
      </c>
      <c r="F96" s="24"/>
    </row>
    <row r="97" spans="1:9" x14ac:dyDescent="0.25">
      <c r="A97" s="10" t="s">
        <v>23</v>
      </c>
      <c r="B97" s="11">
        <f t="shared" si="1"/>
        <v>8850000</v>
      </c>
      <c r="C97" s="12" t="s">
        <v>11</v>
      </c>
      <c r="D97" s="13">
        <v>9800000</v>
      </c>
      <c r="E97" s="23">
        <v>1.2500000000000001E-2</v>
      </c>
      <c r="F97" s="24"/>
    </row>
    <row r="98" spans="1:9" x14ac:dyDescent="0.2">
      <c r="A98" s="10" t="s">
        <v>23</v>
      </c>
      <c r="B98" s="11">
        <f t="shared" si="1"/>
        <v>9800000</v>
      </c>
      <c r="C98" s="12" t="s">
        <v>11</v>
      </c>
      <c r="D98" s="13">
        <v>10950000</v>
      </c>
      <c r="E98" s="23">
        <v>1.4999999999999999E-2</v>
      </c>
      <c r="F98" s="24"/>
      <c r="I98" s="40"/>
    </row>
    <row r="99" spans="1:9" x14ac:dyDescent="0.25">
      <c r="A99" s="10" t="s">
        <v>23</v>
      </c>
      <c r="B99" s="11">
        <f t="shared" si="1"/>
        <v>10950000</v>
      </c>
      <c r="C99" s="12" t="s">
        <v>11</v>
      </c>
      <c r="D99" s="13">
        <v>11200000</v>
      </c>
      <c r="E99" s="23">
        <v>1.7500000000000002E-2</v>
      </c>
      <c r="F99" s="24"/>
    </row>
    <row r="100" spans="1:9" x14ac:dyDescent="0.25">
      <c r="A100" s="10" t="s">
        <v>23</v>
      </c>
      <c r="B100" s="11">
        <f t="shared" si="1"/>
        <v>11200000</v>
      </c>
      <c r="C100" s="12" t="s">
        <v>11</v>
      </c>
      <c r="D100" s="13">
        <v>12050000</v>
      </c>
      <c r="E100" s="23">
        <v>0.02</v>
      </c>
      <c r="F100" s="24"/>
    </row>
    <row r="101" spans="1:9" x14ac:dyDescent="0.25">
      <c r="A101" s="10" t="s">
        <v>23</v>
      </c>
      <c r="B101" s="11">
        <f t="shared" si="1"/>
        <v>12050000</v>
      </c>
      <c r="C101" s="12" t="s">
        <v>11</v>
      </c>
      <c r="D101" s="13">
        <v>12950000</v>
      </c>
      <c r="E101" s="23">
        <v>0.03</v>
      </c>
      <c r="F101" s="24"/>
      <c r="I101" s="41"/>
    </row>
    <row r="102" spans="1:9" x14ac:dyDescent="0.25">
      <c r="A102" s="10" t="s">
        <v>23</v>
      </c>
      <c r="B102" s="11">
        <f t="shared" si="1"/>
        <v>12950000</v>
      </c>
      <c r="C102" s="12" t="s">
        <v>11</v>
      </c>
      <c r="D102" s="13">
        <v>14150000</v>
      </c>
      <c r="E102" s="23">
        <v>0.04</v>
      </c>
      <c r="F102" s="24"/>
      <c r="I102" s="41"/>
    </row>
    <row r="103" spans="1:9" x14ac:dyDescent="0.25">
      <c r="A103" s="10" t="s">
        <v>23</v>
      </c>
      <c r="B103" s="11">
        <f t="shared" si="1"/>
        <v>14150000</v>
      </c>
      <c r="C103" s="12" t="s">
        <v>11</v>
      </c>
      <c r="D103" s="13">
        <v>15550000</v>
      </c>
      <c r="E103" s="23">
        <v>0.05</v>
      </c>
      <c r="F103" s="24"/>
      <c r="I103" s="41"/>
    </row>
    <row r="104" spans="1:9" x14ac:dyDescent="0.25">
      <c r="A104" s="10" t="s">
        <v>23</v>
      </c>
      <c r="B104" s="11">
        <f t="shared" si="1"/>
        <v>15550000</v>
      </c>
      <c r="C104" s="12" t="s">
        <v>11</v>
      </c>
      <c r="D104" s="13">
        <v>17050000</v>
      </c>
      <c r="E104" s="23">
        <v>0.06</v>
      </c>
      <c r="F104" s="24"/>
      <c r="I104" s="41"/>
    </row>
    <row r="105" spans="1:9" x14ac:dyDescent="0.25">
      <c r="A105" s="10" t="s">
        <v>23</v>
      </c>
      <c r="B105" s="11">
        <f t="shared" si="1"/>
        <v>17050000</v>
      </c>
      <c r="C105" s="12" t="s">
        <v>11</v>
      </c>
      <c r="D105" s="13">
        <v>19500000</v>
      </c>
      <c r="E105" s="23">
        <v>7.0000000000000007E-2</v>
      </c>
      <c r="F105" s="24"/>
      <c r="I105" s="41"/>
    </row>
    <row r="106" spans="1:9" x14ac:dyDescent="0.25">
      <c r="A106" s="10" t="s">
        <v>23</v>
      </c>
      <c r="B106" s="11">
        <f t="shared" si="1"/>
        <v>19500000</v>
      </c>
      <c r="C106" s="12" t="s">
        <v>11</v>
      </c>
      <c r="D106" s="13">
        <v>22700000</v>
      </c>
      <c r="E106" s="23">
        <v>0.08</v>
      </c>
      <c r="F106" s="24"/>
      <c r="I106" s="41"/>
    </row>
    <row r="107" spans="1:9" x14ac:dyDescent="0.25">
      <c r="A107" s="10" t="s">
        <v>23</v>
      </c>
      <c r="B107" s="11">
        <f t="shared" si="1"/>
        <v>22700000</v>
      </c>
      <c r="C107" s="12" t="s">
        <v>11</v>
      </c>
      <c r="D107" s="13">
        <v>26600000</v>
      </c>
      <c r="E107" s="23">
        <v>0.09</v>
      </c>
      <c r="F107" s="24"/>
      <c r="I107" s="41"/>
    </row>
    <row r="108" spans="1:9" x14ac:dyDescent="0.25">
      <c r="A108" s="10" t="s">
        <v>23</v>
      </c>
      <c r="B108" s="11">
        <f t="shared" si="1"/>
        <v>26600000</v>
      </c>
      <c r="C108" s="12" t="s">
        <v>11</v>
      </c>
      <c r="D108" s="13">
        <v>28100000</v>
      </c>
      <c r="E108" s="23">
        <v>0.1</v>
      </c>
      <c r="F108" s="24"/>
      <c r="I108" s="41"/>
    </row>
    <row r="109" spans="1:9" x14ac:dyDescent="0.25">
      <c r="A109" s="10" t="s">
        <v>23</v>
      </c>
      <c r="B109" s="11">
        <f t="shared" si="1"/>
        <v>28100000</v>
      </c>
      <c r="C109" s="12" t="s">
        <v>11</v>
      </c>
      <c r="D109" s="13">
        <v>30100000</v>
      </c>
      <c r="E109" s="23">
        <v>0.11</v>
      </c>
      <c r="F109" s="24"/>
      <c r="I109" s="41"/>
    </row>
    <row r="110" spans="1:9" x14ac:dyDescent="0.25">
      <c r="A110" s="10" t="s">
        <v>23</v>
      </c>
      <c r="B110" s="11">
        <f t="shared" si="1"/>
        <v>30100000</v>
      </c>
      <c r="C110" s="12" t="s">
        <v>11</v>
      </c>
      <c r="D110" s="13">
        <v>32600000</v>
      </c>
      <c r="E110" s="23">
        <v>0.12</v>
      </c>
      <c r="F110" s="24"/>
      <c r="I110" s="41"/>
    </row>
    <row r="111" spans="1:9" x14ac:dyDescent="0.25">
      <c r="A111" s="10" t="s">
        <v>23</v>
      </c>
      <c r="B111" s="11">
        <f t="shared" si="1"/>
        <v>32600000</v>
      </c>
      <c r="C111" s="12" t="s">
        <v>11</v>
      </c>
      <c r="D111" s="13">
        <v>35400000</v>
      </c>
      <c r="E111" s="23">
        <v>0.13</v>
      </c>
      <c r="F111" s="24"/>
      <c r="I111" s="41"/>
    </row>
    <row r="112" spans="1:9" x14ac:dyDescent="0.25">
      <c r="A112" s="10" t="s">
        <v>23</v>
      </c>
      <c r="B112" s="11">
        <f t="shared" si="1"/>
        <v>35400000</v>
      </c>
      <c r="C112" s="12" t="s">
        <v>11</v>
      </c>
      <c r="D112" s="13">
        <v>38900000</v>
      </c>
      <c r="E112" s="23">
        <v>0.14000000000000001</v>
      </c>
      <c r="F112" s="24"/>
      <c r="I112" s="41"/>
    </row>
    <row r="113" spans="1:9" x14ac:dyDescent="0.25">
      <c r="A113" s="10" t="s">
        <v>23</v>
      </c>
      <c r="B113" s="11">
        <f t="shared" si="1"/>
        <v>38900000</v>
      </c>
      <c r="C113" s="12" t="s">
        <v>11</v>
      </c>
      <c r="D113" s="13">
        <v>43000000</v>
      </c>
      <c r="E113" s="23">
        <v>0.15</v>
      </c>
      <c r="F113" s="24"/>
      <c r="I113" s="41"/>
    </row>
    <row r="114" spans="1:9" x14ac:dyDescent="0.25">
      <c r="A114" s="10" t="s">
        <v>23</v>
      </c>
      <c r="B114" s="11">
        <f t="shared" si="1"/>
        <v>43000000</v>
      </c>
      <c r="C114" s="12" t="s">
        <v>11</v>
      </c>
      <c r="D114" s="13">
        <v>47400000</v>
      </c>
      <c r="E114" s="23">
        <v>0.16</v>
      </c>
      <c r="F114" s="24"/>
      <c r="I114" s="41"/>
    </row>
    <row r="115" spans="1:9" x14ac:dyDescent="0.25">
      <c r="A115" s="10" t="s">
        <v>23</v>
      </c>
      <c r="B115" s="11">
        <f t="shared" si="1"/>
        <v>47400000</v>
      </c>
      <c r="C115" s="12" t="s">
        <v>11</v>
      </c>
      <c r="D115" s="13">
        <v>51200000</v>
      </c>
      <c r="E115" s="23">
        <v>0.17</v>
      </c>
      <c r="F115" s="24"/>
      <c r="I115" s="41"/>
    </row>
    <row r="116" spans="1:9" x14ac:dyDescent="0.25">
      <c r="A116" s="10" t="s">
        <v>23</v>
      </c>
      <c r="B116" s="11">
        <f t="shared" si="1"/>
        <v>51200000</v>
      </c>
      <c r="C116" s="12" t="s">
        <v>11</v>
      </c>
      <c r="D116" s="13">
        <v>55800000</v>
      </c>
      <c r="E116" s="23">
        <v>0.18</v>
      </c>
      <c r="F116" s="24"/>
      <c r="I116" s="41"/>
    </row>
    <row r="117" spans="1:9" x14ac:dyDescent="0.25">
      <c r="A117" s="10" t="s">
        <v>23</v>
      </c>
      <c r="B117" s="11">
        <f t="shared" si="1"/>
        <v>55800000</v>
      </c>
      <c r="C117" s="12" t="s">
        <v>11</v>
      </c>
      <c r="D117" s="13">
        <v>60400000</v>
      </c>
      <c r="E117" s="23">
        <v>0.19</v>
      </c>
      <c r="F117" s="24"/>
      <c r="I117" s="41"/>
    </row>
    <row r="118" spans="1:9" x14ac:dyDescent="0.25">
      <c r="A118" s="10" t="s">
        <v>23</v>
      </c>
      <c r="B118" s="11">
        <f t="shared" si="1"/>
        <v>60400000</v>
      </c>
      <c r="C118" s="12" t="s">
        <v>11</v>
      </c>
      <c r="D118" s="13">
        <v>66700000</v>
      </c>
      <c r="E118" s="23">
        <v>0.2</v>
      </c>
      <c r="F118" s="24"/>
      <c r="I118" s="41"/>
    </row>
    <row r="119" spans="1:9" x14ac:dyDescent="0.25">
      <c r="A119" s="10" t="s">
        <v>23</v>
      </c>
      <c r="B119" s="11">
        <f t="shared" si="1"/>
        <v>66700000</v>
      </c>
      <c r="C119" s="12" t="s">
        <v>11</v>
      </c>
      <c r="D119" s="13">
        <v>74500000</v>
      </c>
      <c r="E119" s="23">
        <v>0.21</v>
      </c>
      <c r="F119" s="24"/>
      <c r="I119" s="41"/>
    </row>
    <row r="120" spans="1:9" x14ac:dyDescent="0.25">
      <c r="A120" s="10" t="s">
        <v>23</v>
      </c>
      <c r="B120" s="11">
        <f t="shared" si="1"/>
        <v>74500000</v>
      </c>
      <c r="C120" s="12" t="s">
        <v>11</v>
      </c>
      <c r="D120" s="13">
        <v>83200000</v>
      </c>
      <c r="E120" s="23">
        <v>0.22</v>
      </c>
      <c r="F120" s="24"/>
      <c r="I120" s="41"/>
    </row>
    <row r="121" spans="1:9" x14ac:dyDescent="0.25">
      <c r="A121" s="10" t="s">
        <v>23</v>
      </c>
      <c r="B121" s="11">
        <f t="shared" si="1"/>
        <v>83200000</v>
      </c>
      <c r="C121" s="12" t="s">
        <v>11</v>
      </c>
      <c r="D121" s="13">
        <v>95600000</v>
      </c>
      <c r="E121" s="23">
        <v>0.23</v>
      </c>
      <c r="F121" s="24"/>
      <c r="I121" s="41"/>
    </row>
    <row r="122" spans="1:9" x14ac:dyDescent="0.25">
      <c r="A122" s="10" t="s">
        <v>23</v>
      </c>
      <c r="B122" s="11">
        <f t="shared" si="1"/>
        <v>95600000</v>
      </c>
      <c r="C122" s="12" t="s">
        <v>11</v>
      </c>
      <c r="D122" s="13">
        <v>110000000</v>
      </c>
      <c r="E122" s="23">
        <v>0.24</v>
      </c>
      <c r="F122" s="24"/>
      <c r="I122" s="41"/>
    </row>
    <row r="123" spans="1:9" x14ac:dyDescent="0.25">
      <c r="A123" s="10" t="s">
        <v>23</v>
      </c>
      <c r="B123" s="11">
        <f t="shared" si="1"/>
        <v>110000000</v>
      </c>
      <c r="C123" s="12" t="s">
        <v>11</v>
      </c>
      <c r="D123" s="13">
        <v>134000000</v>
      </c>
      <c r="E123" s="23">
        <v>0.25</v>
      </c>
      <c r="F123" s="24"/>
      <c r="I123" s="41"/>
    </row>
    <row r="124" spans="1:9" x14ac:dyDescent="0.25">
      <c r="A124" s="10" t="s">
        <v>23</v>
      </c>
      <c r="B124" s="11">
        <f t="shared" si="1"/>
        <v>134000000</v>
      </c>
      <c r="C124" s="12" t="s">
        <v>11</v>
      </c>
      <c r="D124" s="13">
        <v>169000000</v>
      </c>
      <c r="E124" s="23">
        <v>0.26</v>
      </c>
      <c r="F124" s="24"/>
      <c r="I124" s="41"/>
    </row>
    <row r="125" spans="1:9" x14ac:dyDescent="0.25">
      <c r="A125" s="10" t="s">
        <v>23</v>
      </c>
      <c r="B125" s="11">
        <f t="shared" si="1"/>
        <v>169000000</v>
      </c>
      <c r="C125" s="12" t="s">
        <v>11</v>
      </c>
      <c r="D125" s="13">
        <v>221000000</v>
      </c>
      <c r="E125" s="23">
        <v>0.27</v>
      </c>
      <c r="F125" s="24"/>
      <c r="I125" s="41"/>
    </row>
    <row r="126" spans="1:9" x14ac:dyDescent="0.25">
      <c r="A126" s="10" t="s">
        <v>23</v>
      </c>
      <c r="B126" s="11">
        <f t="shared" si="1"/>
        <v>221000000</v>
      </c>
      <c r="C126" s="12" t="s">
        <v>11</v>
      </c>
      <c r="D126" s="13">
        <v>390000000</v>
      </c>
      <c r="E126" s="23">
        <v>0.28000000000000003</v>
      </c>
      <c r="F126" s="24"/>
    </row>
    <row r="127" spans="1:9" x14ac:dyDescent="0.25">
      <c r="A127" s="10" t="s">
        <v>23</v>
      </c>
      <c r="B127" s="11">
        <f t="shared" si="1"/>
        <v>390000000</v>
      </c>
      <c r="C127" s="12" t="s">
        <v>11</v>
      </c>
      <c r="D127" s="13">
        <v>463000000</v>
      </c>
      <c r="E127" s="23">
        <v>0.28999999999999998</v>
      </c>
      <c r="F127" s="24"/>
    </row>
    <row r="128" spans="1:9" x14ac:dyDescent="0.25">
      <c r="A128" s="10" t="s">
        <v>23</v>
      </c>
      <c r="B128" s="11">
        <f t="shared" si="1"/>
        <v>463000000</v>
      </c>
      <c r="C128" s="12" t="s">
        <v>11</v>
      </c>
      <c r="D128" s="13">
        <v>561000000</v>
      </c>
      <c r="E128" s="23">
        <v>0.3</v>
      </c>
      <c r="F128" s="24"/>
    </row>
    <row r="129" spans="1:6" x14ac:dyDescent="0.25">
      <c r="A129" s="10" t="s">
        <v>23</v>
      </c>
      <c r="B129" s="11">
        <f t="shared" si="1"/>
        <v>561000000</v>
      </c>
      <c r="C129" s="12" t="s">
        <v>11</v>
      </c>
      <c r="D129" s="13">
        <v>709000000</v>
      </c>
      <c r="E129" s="23">
        <v>0.31</v>
      </c>
      <c r="F129" s="24"/>
    </row>
    <row r="130" spans="1:6" x14ac:dyDescent="0.25">
      <c r="A130" s="10" t="s">
        <v>23</v>
      </c>
      <c r="B130" s="11">
        <f t="shared" si="1"/>
        <v>709000000</v>
      </c>
      <c r="C130" s="12" t="s">
        <v>11</v>
      </c>
      <c r="D130" s="13">
        <v>965000000</v>
      </c>
      <c r="E130" s="23">
        <v>0.32</v>
      </c>
      <c r="F130" s="24"/>
    </row>
    <row r="131" spans="1:6" x14ac:dyDescent="0.25">
      <c r="A131" s="10" t="s">
        <v>23</v>
      </c>
      <c r="B131" s="11">
        <f t="shared" si="1"/>
        <v>965000000</v>
      </c>
      <c r="C131" s="12" t="s">
        <v>11</v>
      </c>
      <c r="D131" s="13">
        <v>1419000000</v>
      </c>
      <c r="E131" s="23">
        <v>0.33</v>
      </c>
      <c r="F131" s="24"/>
    </row>
    <row r="132" spans="1:6" x14ac:dyDescent="0.25">
      <c r="A132" s="10" t="s">
        <v>23</v>
      </c>
      <c r="B132" s="11">
        <v>1419000000</v>
      </c>
      <c r="C132" s="12"/>
      <c r="D132" s="13"/>
      <c r="E132" s="23">
        <v>0.34</v>
      </c>
      <c r="F132" s="24"/>
    </row>
  </sheetData>
  <mergeCells count="3">
    <mergeCell ref="K3:O3"/>
    <mergeCell ref="B5:D5"/>
    <mergeCell ref="K9:O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Simulasi 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pajak</dc:creator>
  <cp:lastModifiedBy>pajak</cp:lastModifiedBy>
  <dcterms:created xsi:type="dcterms:W3CDTF">2025-03-12T04:15:02Z</dcterms:created>
  <dcterms:modified xsi:type="dcterms:W3CDTF">2026-03-27T04:12:25Z</dcterms:modified>
</cp:coreProperties>
</file>